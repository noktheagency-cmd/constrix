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C:\Users\HP\Desktop\Art muzey\Ələt azer gold\Tikinti işləri(işçilik)\"/>
    </mc:Choice>
  </mc:AlternateContent>
  <xr:revisionPtr revIDLastSave="0" documentId="13_ncr:1_{BA1D4A79-4490-48A3-A63C-6995A9C552EB}" xr6:coauthVersionLast="47" xr6:coauthVersionMax="47" xr10:uidLastSave="{00000000-0000-0000-0000-000000000000}"/>
  <bookViews>
    <workbookView xWindow="-108" yWindow="-108" windowWidth="23256" windowHeight="12456" tabRatio="845" activeTab="8" xr2:uid="{00000000-000D-0000-FFFF-FFFF00000000}"/>
  </bookViews>
  <sheets>
    <sheet name="0 - Summary" sheetId="11" r:id="rId1"/>
    <sheet name="1 - Direct_DK_BoQ" sheetId="10" r:id="rId2"/>
    <sheet name="Offer_Auto" sheetId="16" state="hidden" r:id="rId3"/>
    <sheet name="2 - Direct_MH_BoQ" sheetId="22" r:id="rId4"/>
    <sheet name="3 - Indirect" sheetId="14" r:id="rId5"/>
    <sheet name="4 - Overhead" sheetId="13" r:id="rId6"/>
    <sheet name="Scope_Matrix" sheetId="20" r:id="rId7"/>
    <sheet name="Org_chart" sheetId="17" r:id="rId8"/>
    <sheet name="Planning" sheetId="19" r:id="rId9"/>
  </sheets>
  <definedNames>
    <definedName name="_xlnm._FilterDatabase" localSheetId="1" hidden="1">'1 - Direct_DK_BoQ'!$A$9:$M$67</definedName>
    <definedName name="_xlnm._FilterDatabase" localSheetId="3" hidden="1">'2 - Direct_MH_BoQ'!$A$10:$AF$28</definedName>
    <definedName name="_Toc205793815" localSheetId="0">'0 - Summary'!#REF!</definedName>
    <definedName name="_Toc205793816" localSheetId="0">'0 - Summary'!#REF!</definedName>
    <definedName name="_Toc205793817" localSheetId="0">'0 - Summary'!#REF!</definedName>
    <definedName name="_xlnm.Print_Area" localSheetId="0">'0 - Summary'!$A$2:$C$20</definedName>
    <definedName name="_xlnm.Print_Area" localSheetId="1">'1 - Direct_DK_BoQ'!$A$1:$M$68</definedName>
    <definedName name="_xlnm.Print_Area" localSheetId="3">'2 - Direct_MH_BoQ'!$A$1:$M$30</definedName>
    <definedName name="_xlnm.Print_Area" localSheetId="4">'3 - Indirect'!$A$1:$G$40</definedName>
    <definedName name="_xlnm.Print_Area" localSheetId="5">'4 - Overhead'!$A$1:$F$20</definedName>
    <definedName name="_xlnm.Print_Area" localSheetId="2">Offer_Auto!$A$1:$N$286</definedName>
    <definedName name="_xlnm.Print_Titles" localSheetId="4">'3 - Indirect'!$2:$4</definedName>
    <definedName name="_xlnm.Print_Titles" localSheetId="5">'4 - Overhead'!$2:$4</definedName>
  </definedNames>
  <calcPr calcId="181029"/>
</workbook>
</file>

<file path=xl/calcChain.xml><?xml version="1.0" encoding="utf-8"?>
<calcChain xmlns="http://schemas.openxmlformats.org/spreadsheetml/2006/main">
  <c r="L12" i="22" l="1"/>
  <c r="L13" i="22"/>
  <c r="L28" i="22" l="1"/>
  <c r="C28" i="22"/>
  <c r="L26" i="22"/>
  <c r="D26" i="22"/>
  <c r="C26" i="22"/>
  <c r="L25" i="22"/>
  <c r="C25" i="22"/>
  <c r="L23" i="22"/>
  <c r="C23" i="22"/>
  <c r="L22" i="22"/>
  <c r="L20" i="22"/>
  <c r="L19" i="22" s="1"/>
  <c r="L18" i="22"/>
  <c r="L17" i="22"/>
  <c r="L15" i="22"/>
  <c r="L11" i="22"/>
  <c r="L7" i="22" s="1"/>
  <c r="L6" i="22" s="1"/>
  <c r="K6" i="22"/>
  <c r="J6" i="22"/>
  <c r="L14" i="22" l="1"/>
  <c r="L10" i="22" s="1"/>
  <c r="L16" i="22"/>
  <c r="L21" i="22"/>
  <c r="L27" i="22"/>
  <c r="L24" i="22"/>
  <c r="L9" i="22" l="1"/>
  <c r="C10" i="11" s="1"/>
  <c r="L67" i="10"/>
  <c r="L65" i="10"/>
  <c r="L66" i="10"/>
  <c r="L61" i="10" l="1"/>
  <c r="L60" i="10"/>
  <c r="L59" i="10"/>
  <c r="L58" i="10"/>
  <c r="L56" i="10"/>
  <c r="L55" i="10"/>
  <c r="L54" i="10"/>
  <c r="L53" i="10"/>
  <c r="L57" i="10" l="1"/>
  <c r="L52" i="10"/>
  <c r="D47" i="10" l="1"/>
  <c r="D48" i="10" s="1"/>
  <c r="D49" i="10" s="1"/>
  <c r="D50" i="10" s="1"/>
  <c r="D51" i="10" s="1"/>
  <c r="D41" i="10"/>
  <c r="D42" i="10" s="1"/>
  <c r="D43" i="10" s="1"/>
  <c r="D44" i="10" s="1"/>
  <c r="C47" i="10"/>
  <c r="C48" i="10"/>
  <c r="C49" i="10"/>
  <c r="C50" i="10"/>
  <c r="C51" i="10"/>
  <c r="C46" i="10"/>
  <c r="C41" i="10"/>
  <c r="C42" i="10"/>
  <c r="C43" i="10"/>
  <c r="C44" i="10"/>
  <c r="C40" i="10"/>
  <c r="C34" i="10"/>
  <c r="C35" i="10"/>
  <c r="C36" i="10"/>
  <c r="C37" i="10"/>
  <c r="C38" i="10"/>
  <c r="C33" i="10"/>
  <c r="L50" i="10"/>
  <c r="L51" i="10"/>
  <c r="L49" i="10"/>
  <c r="L48" i="10"/>
  <c r="L47" i="10"/>
  <c r="L46" i="10"/>
  <c r="L44" i="10"/>
  <c r="L43" i="10"/>
  <c r="L42" i="10"/>
  <c r="L41" i="10"/>
  <c r="L40" i="10"/>
  <c r="L37" i="10"/>
  <c r="L38" i="10"/>
  <c r="L36" i="10"/>
  <c r="L35" i="10"/>
  <c r="L34" i="10"/>
  <c r="L33" i="10"/>
  <c r="L28" i="10"/>
  <c r="L29" i="10"/>
  <c r="L31" i="10"/>
  <c r="L30" i="10"/>
  <c r="L27" i="10"/>
  <c r="L45" i="10" l="1"/>
  <c r="L39" i="10"/>
  <c r="L32" i="10"/>
  <c r="L26" i="10"/>
  <c r="L22" i="10"/>
  <c r="L23" i="10"/>
  <c r="L24" i="10"/>
  <c r="L25" i="10" l="1"/>
  <c r="L12" i="10"/>
  <c r="L15" i="10" l="1"/>
  <c r="K6" i="10" l="1"/>
  <c r="J6" i="10"/>
  <c r="H17" i="11" s="1"/>
  <c r="L64" i="10"/>
  <c r="L18" i="10"/>
  <c r="I17" i="11" l="1"/>
  <c r="J17" i="11" s="1"/>
  <c r="G13" i="11"/>
  <c r="L63" i="10"/>
  <c r="L62" i="10" s="1"/>
  <c r="L21" i="10"/>
  <c r="L20" i="10"/>
  <c r="L17" i="10"/>
  <c r="L14" i="10"/>
  <c r="L19" i="10" l="1"/>
  <c r="L13" i="10"/>
  <c r="L16" i="10"/>
  <c r="B2" i="16" l="1"/>
  <c r="F37" i="14" l="1"/>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40" i="14" l="1"/>
  <c r="C11" i="11" s="1"/>
  <c r="L11" i="10" l="1"/>
  <c r="L10" i="10" s="1"/>
  <c r="L9" i="10" s="1"/>
  <c r="C9" i="11" s="1"/>
  <c r="F17" i="13" l="1"/>
  <c r="F15" i="13"/>
  <c r="F13" i="13"/>
  <c r="F10" i="13"/>
  <c r="F8" i="13"/>
  <c r="F7" i="13"/>
  <c r="L7" i="10" l="1"/>
  <c r="L6" i="10" s="1"/>
  <c r="F20" i="13"/>
  <c r="C12" i="11" s="1"/>
  <c r="C13" i="11" s="1"/>
  <c r="C14" i="11" l="1"/>
  <c r="C15" i="11" s="1"/>
  <c r="G17" i="11"/>
  <c r="H18" i="11" s="1"/>
  <c r="H19" i="11" s="1"/>
  <c r="C16" i="11" l="1"/>
  <c r="H13" i="16"/>
  <c r="K13" i="16" s="1"/>
  <c r="H182" i="16"/>
  <c r="H181" i="16"/>
  <c r="H282" i="16"/>
  <c r="H268" i="16"/>
  <c r="H265" i="16"/>
  <c r="H263" i="16"/>
  <c r="H285" i="16"/>
  <c r="H267" i="16"/>
  <c r="H247" i="16"/>
  <c r="H244" i="16"/>
  <c r="H232" i="16"/>
  <c r="H227" i="16"/>
  <c r="H224" i="16"/>
  <c r="H221" i="16"/>
  <c r="H216" i="16"/>
  <c r="H207" i="16"/>
  <c r="H203" i="16"/>
  <c r="H177" i="16"/>
  <c r="H170" i="16"/>
  <c r="H173" i="16"/>
  <c r="H150" i="16"/>
  <c r="H148" i="16"/>
  <c r="H130" i="16"/>
  <c r="H123" i="16"/>
  <c r="H98" i="16"/>
  <c r="H94" i="16"/>
  <c r="H90" i="16"/>
  <c r="H88" i="16"/>
  <c r="H277" i="16"/>
  <c r="H257" i="16"/>
  <c r="H251" i="16"/>
  <c r="H240" i="16"/>
  <c r="H238" i="16"/>
  <c r="H234" i="16"/>
  <c r="H211" i="16"/>
  <c r="H166" i="16"/>
  <c r="H154" i="16"/>
  <c r="H109" i="16"/>
  <c r="H100" i="16"/>
  <c r="H284" i="16"/>
  <c r="H281" i="16"/>
  <c r="H272" i="16"/>
  <c r="H261" i="16"/>
  <c r="H280" i="16"/>
  <c r="H270" i="16"/>
  <c r="H266" i="16"/>
  <c r="H256" i="16"/>
  <c r="H245" i="16"/>
  <c r="H237" i="16"/>
  <c r="H225" i="16"/>
  <c r="H222" i="16"/>
  <c r="H218" i="16"/>
  <c r="H200" i="16"/>
  <c r="H192" i="16"/>
  <c r="H179" i="16"/>
  <c r="H168" i="16"/>
  <c r="H160" i="16"/>
  <c r="H149" i="16"/>
  <c r="H127" i="16"/>
  <c r="H115" i="16"/>
  <c r="H102" i="16"/>
  <c r="H92" i="16"/>
  <c r="H89" i="16"/>
  <c r="H87" i="16"/>
  <c r="H274" i="16"/>
  <c r="H255" i="16"/>
  <c r="H248" i="16"/>
  <c r="H243" i="16"/>
  <c r="H215" i="16"/>
  <c r="H196" i="16"/>
  <c r="H180" i="16"/>
  <c r="H162" i="16"/>
  <c r="H156" i="16"/>
  <c r="H136" i="16"/>
  <c r="H129" i="16"/>
  <c r="H125" i="16"/>
  <c r="H120" i="16"/>
  <c r="H110" i="16"/>
  <c r="H78" i="16"/>
  <c r="H76" i="16"/>
  <c r="H66" i="16"/>
  <c r="H59" i="16"/>
  <c r="H52" i="16"/>
  <c r="H214" i="16"/>
  <c r="H190" i="16"/>
  <c r="H233" i="16"/>
  <c r="H161" i="16"/>
  <c r="H145" i="16"/>
  <c r="H140" i="16"/>
  <c r="H105" i="16"/>
  <c r="H84" i="16"/>
  <c r="H80" i="16"/>
  <c r="H70" i="16"/>
  <c r="H56" i="16"/>
  <c r="H46" i="16"/>
  <c r="H42" i="16"/>
  <c r="H39" i="16"/>
  <c r="H30" i="16"/>
  <c r="H28" i="16"/>
  <c r="H14" i="16"/>
  <c r="H253" i="16"/>
  <c r="H206" i="16"/>
  <c r="H194" i="16"/>
  <c r="H259" i="16"/>
  <c r="H212" i="16"/>
  <c r="H204" i="16"/>
  <c r="H188" i="16"/>
  <c r="H153" i="16"/>
  <c r="H137" i="16"/>
  <c r="H113" i="16"/>
  <c r="H83" i="16"/>
  <c r="H77" i="16"/>
  <c r="H61" i="16"/>
  <c r="H54" i="16"/>
  <c r="H38" i="16"/>
  <c r="H279" i="16"/>
  <c r="H231" i="16"/>
  <c r="H197" i="16"/>
  <c r="H158" i="16"/>
  <c r="H101" i="16"/>
  <c r="H79" i="16"/>
  <c r="H239" i="16"/>
  <c r="H276" i="16"/>
  <c r="H208" i="16"/>
  <c r="H186" i="16"/>
  <c r="H157" i="16"/>
  <c r="H116" i="16"/>
  <c r="H107" i="16"/>
  <c r="H99" i="16"/>
  <c r="H63" i="16"/>
  <c r="H57" i="16"/>
  <c r="H47" i="16"/>
  <c r="H19" i="16"/>
  <c r="H37" i="16"/>
  <c r="H23" i="16"/>
  <c r="H114" i="16"/>
  <c r="H69" i="16"/>
  <c r="H58" i="16"/>
  <c r="H264" i="16"/>
  <c r="H164" i="16"/>
  <c r="H144" i="16"/>
  <c r="H96" i="16"/>
  <c r="H72" i="16"/>
  <c r="H35" i="16"/>
  <c r="H22" i="16"/>
  <c r="H20" i="16"/>
  <c r="H141" i="16"/>
  <c r="H235" i="16"/>
  <c r="H219" i="16"/>
  <c r="H178" i="16"/>
  <c r="H167" i="16"/>
  <c r="H146" i="16"/>
  <c r="H138" i="16"/>
  <c r="H131" i="16"/>
  <c r="H73" i="16"/>
  <c r="H51" i="16"/>
  <c r="H193" i="16"/>
  <c r="H121" i="16"/>
  <c r="H106" i="16"/>
  <c r="H82" i="16"/>
  <c r="H62" i="16"/>
  <c r="H40" i="16"/>
  <c r="H32" i="16"/>
  <c r="H27" i="16"/>
  <c r="H176" i="16"/>
  <c r="H152" i="16"/>
  <c r="H48" i="16"/>
  <c r="H16" i="16"/>
  <c r="H223" i="16"/>
  <c r="H124" i="16"/>
  <c r="H260" i="16"/>
  <c r="H228" i="16"/>
  <c r="H201" i="16"/>
  <c r="H175" i="16"/>
  <c r="H119" i="16"/>
  <c r="H112" i="16"/>
  <c r="H103" i="16"/>
  <c r="H95" i="16"/>
  <c r="H49" i="16"/>
  <c r="H44" i="16"/>
  <c r="H18" i="16"/>
  <c r="H242" i="16"/>
  <c r="H199" i="16"/>
  <c r="H171" i="16"/>
  <c r="H142" i="16"/>
  <c r="H133" i="16"/>
  <c r="H126" i="16"/>
  <c r="H93" i="16"/>
  <c r="H71" i="16"/>
  <c r="H43" i="16"/>
  <c r="H33" i="16"/>
  <c r="H25" i="16"/>
  <c r="H172" i="16"/>
  <c r="H118" i="16"/>
  <c r="H108" i="16"/>
  <c r="H85" i="16"/>
  <c r="H75" i="16"/>
  <c r="H64" i="16"/>
  <c r="H29" i="16"/>
  <c r="H252" i="16"/>
  <c r="H209" i="16"/>
  <c r="H132" i="16"/>
  <c r="H24" i="16"/>
  <c r="H53" i="16"/>
  <c r="H15" i="16"/>
  <c r="H34" i="16"/>
  <c r="I18" i="11"/>
  <c r="G12" i="11" s="1"/>
  <c r="G14" i="11" s="1"/>
  <c r="G15" i="11" s="1"/>
  <c r="K181" i="16" l="1"/>
  <c r="M181" i="16" s="1"/>
  <c r="K182" i="16"/>
  <c r="M182" i="16" s="1"/>
  <c r="I13" i="16"/>
  <c r="J13" i="16" s="1"/>
  <c r="I182" i="16"/>
  <c r="L182" i="16" s="1"/>
  <c r="I181" i="16"/>
  <c r="L181" i="16" s="1"/>
  <c r="K142" i="16"/>
  <c r="K103" i="16"/>
  <c r="K223" i="16"/>
  <c r="K62" i="16"/>
  <c r="K138" i="16"/>
  <c r="K22" i="16"/>
  <c r="K21" i="16" s="1"/>
  <c r="K69" i="16"/>
  <c r="K68" i="16" s="1"/>
  <c r="K99" i="16"/>
  <c r="K79" i="16"/>
  <c r="K61" i="16"/>
  <c r="K60" i="16" s="1"/>
  <c r="K212" i="16"/>
  <c r="K39" i="16"/>
  <c r="K140" i="16"/>
  <c r="K139" i="16" s="1"/>
  <c r="K66" i="16"/>
  <c r="K65" i="16" s="1"/>
  <c r="K156" i="16"/>
  <c r="K155" i="16" s="1"/>
  <c r="K274" i="16"/>
  <c r="K160" i="16"/>
  <c r="K159" i="16" s="1"/>
  <c r="K237" i="16"/>
  <c r="K236" i="16" s="1"/>
  <c r="K281" i="16"/>
  <c r="K238" i="16"/>
  <c r="K98" i="16"/>
  <c r="K97" i="16" s="1"/>
  <c r="K203" i="16"/>
  <c r="K202" i="16" s="1"/>
  <c r="K247" i="16"/>
  <c r="K246" i="16" s="1"/>
  <c r="K252" i="16"/>
  <c r="K25" i="16"/>
  <c r="K171" i="16"/>
  <c r="K112" i="16"/>
  <c r="K111" i="16" s="1"/>
  <c r="K16" i="16"/>
  <c r="K82" i="16"/>
  <c r="K81" i="16" s="1"/>
  <c r="K146" i="16"/>
  <c r="K35" i="16"/>
  <c r="K114" i="16"/>
  <c r="K107" i="16"/>
  <c r="K101" i="16"/>
  <c r="K77" i="16"/>
  <c r="K259" i="16"/>
  <c r="K42" i="16"/>
  <c r="K41" i="16" s="1"/>
  <c r="K145" i="16"/>
  <c r="K76" i="16"/>
  <c r="K162" i="16"/>
  <c r="K87" i="16"/>
  <c r="K86" i="16" s="1"/>
  <c r="K168" i="16"/>
  <c r="K245" i="16"/>
  <c r="K284" i="16"/>
  <c r="K240" i="16"/>
  <c r="K123" i="16"/>
  <c r="K122" i="16" s="1"/>
  <c r="K207" i="16"/>
  <c r="K267" i="16"/>
  <c r="K29" i="16"/>
  <c r="K199" i="16"/>
  <c r="K198" i="16" s="1"/>
  <c r="K48" i="16"/>
  <c r="K167" i="16"/>
  <c r="K72" i="16"/>
  <c r="K23" i="16"/>
  <c r="K116" i="16"/>
  <c r="K158" i="16"/>
  <c r="K83" i="16"/>
  <c r="K194" i="16"/>
  <c r="K46" i="16"/>
  <c r="K45" i="16" s="1"/>
  <c r="K161" i="16"/>
  <c r="K78" i="16"/>
  <c r="K180" i="16"/>
  <c r="K89" i="16"/>
  <c r="K179" i="16"/>
  <c r="K256" i="16"/>
  <c r="K100" i="16"/>
  <c r="K251" i="16"/>
  <c r="K250" i="16" s="1"/>
  <c r="K130" i="16"/>
  <c r="K216" i="16"/>
  <c r="K285" i="16"/>
  <c r="I279" i="16"/>
  <c r="L279" i="16" s="1"/>
  <c r="I274" i="16"/>
  <c r="L274" i="16" s="1"/>
  <c r="L273" i="16" s="1"/>
  <c r="I259" i="16"/>
  <c r="L259" i="16" s="1"/>
  <c r="I277" i="16"/>
  <c r="L277" i="16" s="1"/>
  <c r="I257" i="16"/>
  <c r="L257" i="16" s="1"/>
  <c r="I251" i="16"/>
  <c r="L251" i="16" s="1"/>
  <c r="L250" i="16" s="1"/>
  <c r="I240" i="16"/>
  <c r="L240" i="16" s="1"/>
  <c r="I238" i="16"/>
  <c r="L238" i="16" s="1"/>
  <c r="I234" i="16"/>
  <c r="L234" i="16" s="1"/>
  <c r="I211" i="16"/>
  <c r="L211" i="16" s="1"/>
  <c r="L210" i="16" s="1"/>
  <c r="I166" i="16"/>
  <c r="L166" i="16" s="1"/>
  <c r="L165" i="16" s="1"/>
  <c r="I154" i="16"/>
  <c r="L154" i="16" s="1"/>
  <c r="I109" i="16"/>
  <c r="L109" i="16" s="1"/>
  <c r="I100" i="16"/>
  <c r="L100" i="16" s="1"/>
  <c r="I284" i="16"/>
  <c r="L284" i="16" s="1"/>
  <c r="I281" i="16"/>
  <c r="L281" i="16" s="1"/>
  <c r="I272" i="16"/>
  <c r="L272" i="16" s="1"/>
  <c r="L271" i="16" s="1"/>
  <c r="I261" i="16"/>
  <c r="L261" i="16" s="1"/>
  <c r="I243" i="16"/>
  <c r="L243" i="16" s="1"/>
  <c r="I223" i="16"/>
  <c r="L223" i="16" s="1"/>
  <c r="I219" i="16"/>
  <c r="L219" i="16" s="1"/>
  <c r="I215" i="16"/>
  <c r="L215" i="16" s="1"/>
  <c r="I206" i="16"/>
  <c r="L206" i="16" s="1"/>
  <c r="L205" i="16" s="1"/>
  <c r="I201" i="16"/>
  <c r="L201" i="16" s="1"/>
  <c r="I180" i="16"/>
  <c r="L180" i="16" s="1"/>
  <c r="I161" i="16"/>
  <c r="L161" i="16" s="1"/>
  <c r="I144" i="16"/>
  <c r="L144" i="16" s="1"/>
  <c r="L143" i="16" s="1"/>
  <c r="I141" i="16"/>
  <c r="L141" i="16" s="1"/>
  <c r="I137" i="16"/>
  <c r="L137" i="16" s="1"/>
  <c r="I125" i="16"/>
  <c r="L125" i="16" s="1"/>
  <c r="I119" i="16"/>
  <c r="L119" i="16" s="1"/>
  <c r="I116" i="16"/>
  <c r="L116" i="16" s="1"/>
  <c r="I113" i="16"/>
  <c r="L113" i="16" s="1"/>
  <c r="I103" i="16"/>
  <c r="L103" i="16" s="1"/>
  <c r="I93" i="16"/>
  <c r="L93" i="16" s="1"/>
  <c r="I84" i="16"/>
  <c r="L84" i="16" s="1"/>
  <c r="I82" i="16"/>
  <c r="L82" i="16" s="1"/>
  <c r="L81" i="16" s="1"/>
  <c r="I264" i="16"/>
  <c r="L264" i="16" s="1"/>
  <c r="I276" i="16"/>
  <c r="L276" i="16" s="1"/>
  <c r="I260" i="16"/>
  <c r="L260" i="16" s="1"/>
  <c r="I252" i="16"/>
  <c r="L252" i="16" s="1"/>
  <c r="I248" i="16"/>
  <c r="L248" i="16" s="1"/>
  <c r="I239" i="16"/>
  <c r="L239" i="16" s="1"/>
  <c r="I233" i="16"/>
  <c r="L233" i="16" s="1"/>
  <c r="I228" i="16"/>
  <c r="L228" i="16" s="1"/>
  <c r="I214" i="16"/>
  <c r="L214" i="16" s="1"/>
  <c r="L213" i="16" s="1"/>
  <c r="I208" i="16"/>
  <c r="L208" i="16" s="1"/>
  <c r="I204" i="16"/>
  <c r="L204" i="16" s="1"/>
  <c r="I175" i="16"/>
  <c r="L175" i="16" s="1"/>
  <c r="L174" i="16" s="1"/>
  <c r="I164" i="16"/>
  <c r="L164" i="16" s="1"/>
  <c r="L163" i="16" s="1"/>
  <c r="I156" i="16"/>
  <c r="L156" i="16" s="1"/>
  <c r="L155" i="16" s="1"/>
  <c r="I152" i="16"/>
  <c r="L152" i="16" s="1"/>
  <c r="L151" i="16" s="1"/>
  <c r="I140" i="16"/>
  <c r="L140" i="16" s="1"/>
  <c r="L139" i="16" s="1"/>
  <c r="I129" i="16"/>
  <c r="L129" i="16" s="1"/>
  <c r="L128" i="16" s="1"/>
  <c r="I124" i="16"/>
  <c r="L124" i="16" s="1"/>
  <c r="I112" i="16"/>
  <c r="L112" i="16" s="1"/>
  <c r="L111" i="16" s="1"/>
  <c r="I99" i="16"/>
  <c r="L99" i="16" s="1"/>
  <c r="I95" i="16"/>
  <c r="L95" i="16" s="1"/>
  <c r="I263" i="16"/>
  <c r="L263" i="16" s="1"/>
  <c r="I227" i="16"/>
  <c r="L227" i="16" s="1"/>
  <c r="I200" i="16"/>
  <c r="L200" i="16" s="1"/>
  <c r="I168" i="16"/>
  <c r="L168" i="16" s="1"/>
  <c r="I145" i="16"/>
  <c r="L145" i="16" s="1"/>
  <c r="I115" i="16"/>
  <c r="L115" i="16" s="1"/>
  <c r="I105" i="16"/>
  <c r="L105" i="16" s="1"/>
  <c r="L104" i="16" s="1"/>
  <c r="I89" i="16"/>
  <c r="L89" i="16" s="1"/>
  <c r="I80" i="16"/>
  <c r="L80" i="16" s="1"/>
  <c r="I70" i="16"/>
  <c r="L70" i="16" s="1"/>
  <c r="I56" i="16"/>
  <c r="L56" i="16" s="1"/>
  <c r="L55" i="16" s="1"/>
  <c r="I46" i="16"/>
  <c r="L46" i="16" s="1"/>
  <c r="L45" i="16" s="1"/>
  <c r="I42" i="16"/>
  <c r="L42" i="16" s="1"/>
  <c r="L41" i="16" s="1"/>
  <c r="I39" i="16"/>
  <c r="L39" i="16" s="1"/>
  <c r="I30" i="16"/>
  <c r="L30" i="16" s="1"/>
  <c r="I28" i="16"/>
  <c r="L28" i="16" s="1"/>
  <c r="I14" i="16"/>
  <c r="L14" i="16" s="1"/>
  <c r="I247" i="16"/>
  <c r="L247" i="16" s="1"/>
  <c r="L246" i="16" s="1"/>
  <c r="I225" i="16"/>
  <c r="L225" i="16" s="1"/>
  <c r="I199" i="16"/>
  <c r="L199" i="16" s="1"/>
  <c r="L198" i="16" s="1"/>
  <c r="I171" i="16"/>
  <c r="L171" i="16" s="1"/>
  <c r="I160" i="16"/>
  <c r="L160" i="16" s="1"/>
  <c r="L159" i="16" s="1"/>
  <c r="I282" i="16"/>
  <c r="L282" i="16" s="1"/>
  <c r="I270" i="16"/>
  <c r="L270" i="16" s="1"/>
  <c r="L269" i="16" s="1"/>
  <c r="I253" i="16"/>
  <c r="L253" i="16" s="1"/>
  <c r="I207" i="16"/>
  <c r="L207" i="16" s="1"/>
  <c r="I194" i="16"/>
  <c r="L194" i="16" s="1"/>
  <c r="I190" i="16"/>
  <c r="L190" i="16" s="1"/>
  <c r="L189" i="16" s="1"/>
  <c r="I179" i="16"/>
  <c r="L179" i="16" s="1"/>
  <c r="I170" i="16"/>
  <c r="L170" i="16" s="1"/>
  <c r="I149" i="16"/>
  <c r="L149" i="16" s="1"/>
  <c r="I133" i="16"/>
  <c r="L133" i="16" s="1"/>
  <c r="I108" i="16"/>
  <c r="L108" i="16" s="1"/>
  <c r="I94" i="16"/>
  <c r="L94" i="16" s="1"/>
  <c r="I75" i="16"/>
  <c r="L75" i="16" s="1"/>
  <c r="L74" i="16" s="1"/>
  <c r="I72" i="16"/>
  <c r="L72" i="16" s="1"/>
  <c r="I62" i="16"/>
  <c r="L62" i="16" s="1"/>
  <c r="I51" i="16"/>
  <c r="L51" i="16" s="1"/>
  <c r="L50" i="16" s="1"/>
  <c r="I48" i="16"/>
  <c r="L48" i="16" s="1"/>
  <c r="I34" i="16"/>
  <c r="L34" i="16" s="1"/>
  <c r="I22" i="16"/>
  <c r="L22" i="16" s="1"/>
  <c r="I19" i="16"/>
  <c r="L19" i="16" s="1"/>
  <c r="I268" i="16"/>
  <c r="L268" i="16" s="1"/>
  <c r="I242" i="16"/>
  <c r="L242" i="16" s="1"/>
  <c r="L241" i="16" s="1"/>
  <c r="I221" i="16"/>
  <c r="L221" i="16" s="1"/>
  <c r="I178" i="16"/>
  <c r="L178" i="16" s="1"/>
  <c r="I167" i="16"/>
  <c r="L167" i="16" s="1"/>
  <c r="I266" i="16"/>
  <c r="L266" i="16" s="1"/>
  <c r="I245" i="16"/>
  <c r="L245" i="16" s="1"/>
  <c r="I231" i="16"/>
  <c r="L231" i="16" s="1"/>
  <c r="L230" i="16" s="1"/>
  <c r="I218" i="16"/>
  <c r="L218" i="16" s="1"/>
  <c r="L217" i="16" s="1"/>
  <c r="I197" i="16"/>
  <c r="L197" i="16" s="1"/>
  <c r="I193" i="16"/>
  <c r="L193" i="16" s="1"/>
  <c r="I177" i="16"/>
  <c r="L177" i="16" s="1"/>
  <c r="I172" i="16"/>
  <c r="L172" i="16" s="1"/>
  <c r="I158" i="16"/>
  <c r="L158" i="16" s="1"/>
  <c r="I148" i="16"/>
  <c r="L148" i="16" s="1"/>
  <c r="L147" i="16" s="1"/>
  <c r="I142" i="16"/>
  <c r="L142" i="16" s="1"/>
  <c r="I132" i="16"/>
  <c r="L132" i="16" s="1"/>
  <c r="I127" i="16"/>
  <c r="L127" i="16" s="1"/>
  <c r="I123" i="16"/>
  <c r="L123" i="16" s="1"/>
  <c r="L122" i="16" s="1"/>
  <c r="I118" i="16"/>
  <c r="L118" i="16" s="1"/>
  <c r="L117" i="16" s="1"/>
  <c r="I107" i="16"/>
  <c r="L107" i="16" s="1"/>
  <c r="I102" i="16"/>
  <c r="L102" i="16" s="1"/>
  <c r="I98" i="16"/>
  <c r="L98" i="16" s="1"/>
  <c r="L97" i="16" s="1"/>
  <c r="I79" i="16"/>
  <c r="L79" i="16" s="1"/>
  <c r="I71" i="16"/>
  <c r="L71" i="16" s="1"/>
  <c r="I69" i="16"/>
  <c r="L69" i="16" s="1"/>
  <c r="L68" i="16" s="1"/>
  <c r="I47" i="16"/>
  <c r="L47" i="16" s="1"/>
  <c r="I43" i="16"/>
  <c r="L43" i="16" s="1"/>
  <c r="I40" i="16"/>
  <c r="L40" i="16" s="1"/>
  <c r="I29" i="16"/>
  <c r="L29" i="16" s="1"/>
  <c r="I15" i="16"/>
  <c r="L15" i="16" s="1"/>
  <c r="I265" i="16"/>
  <c r="L265" i="16" s="1"/>
  <c r="I256" i="16"/>
  <c r="L256" i="16" s="1"/>
  <c r="I235" i="16"/>
  <c r="L235" i="16" s="1"/>
  <c r="I224" i="16"/>
  <c r="L224" i="16" s="1"/>
  <c r="I280" i="16"/>
  <c r="L280" i="16" s="1"/>
  <c r="I53" i="16"/>
  <c r="L53" i="16" s="1"/>
  <c r="I24" i="16"/>
  <c r="L24" i="16" s="1"/>
  <c r="I173" i="16"/>
  <c r="L173" i="16" s="1"/>
  <c r="I237" i="16"/>
  <c r="L237" i="16" s="1"/>
  <c r="L236" i="16" s="1"/>
  <c r="I222" i="16"/>
  <c r="L222" i="16" s="1"/>
  <c r="I196" i="16"/>
  <c r="L196" i="16" s="1"/>
  <c r="L195" i="16" s="1"/>
  <c r="I146" i="16"/>
  <c r="L146" i="16" s="1"/>
  <c r="I138" i="16"/>
  <c r="L138" i="16" s="1"/>
  <c r="I131" i="16"/>
  <c r="L131" i="16" s="1"/>
  <c r="I90" i="16"/>
  <c r="L90" i="16" s="1"/>
  <c r="I83" i="16"/>
  <c r="L83" i="16" s="1"/>
  <c r="I78" i="16"/>
  <c r="L78" i="16" s="1"/>
  <c r="I73" i="16"/>
  <c r="L73" i="16" s="1"/>
  <c r="I52" i="16"/>
  <c r="L52" i="16" s="1"/>
  <c r="I37" i="16"/>
  <c r="L37" i="16" s="1"/>
  <c r="I23" i="16"/>
  <c r="L23" i="16" s="1"/>
  <c r="I130" i="16"/>
  <c r="L130" i="16" s="1"/>
  <c r="I96" i="16"/>
  <c r="L96" i="16" s="1"/>
  <c r="I77" i="16"/>
  <c r="L77" i="16" s="1"/>
  <c r="I35" i="16"/>
  <c r="L35" i="16" s="1"/>
  <c r="I232" i="16"/>
  <c r="L232" i="16" s="1"/>
  <c r="I203" i="16"/>
  <c r="L203" i="16" s="1"/>
  <c r="L202" i="16" s="1"/>
  <c r="I61" i="16"/>
  <c r="L61" i="16" s="1"/>
  <c r="L60" i="16" s="1"/>
  <c r="I44" i="16"/>
  <c r="L44" i="16" s="1"/>
  <c r="I38" i="16"/>
  <c r="L38" i="16" s="1"/>
  <c r="I267" i="16"/>
  <c r="L267" i="16" s="1"/>
  <c r="I121" i="16"/>
  <c r="L121" i="16" s="1"/>
  <c r="I114" i="16"/>
  <c r="L114" i="16" s="1"/>
  <c r="I106" i="16"/>
  <c r="L106" i="16" s="1"/>
  <c r="I58" i="16"/>
  <c r="L58" i="16" s="1"/>
  <c r="I32" i="16"/>
  <c r="L32" i="16" s="1"/>
  <c r="I27" i="16"/>
  <c r="L27" i="16" s="1"/>
  <c r="I176" i="16"/>
  <c r="L176" i="16" s="1"/>
  <c r="I153" i="16"/>
  <c r="L153" i="16" s="1"/>
  <c r="I120" i="16"/>
  <c r="L120" i="16" s="1"/>
  <c r="I88" i="16"/>
  <c r="L88" i="16" s="1"/>
  <c r="I49" i="16"/>
  <c r="L49" i="16" s="1"/>
  <c r="I18" i="16"/>
  <c r="L18" i="16" s="1"/>
  <c r="I186" i="16"/>
  <c r="L186" i="16" s="1"/>
  <c r="L185" i="16" s="1"/>
  <c r="I244" i="16"/>
  <c r="L244" i="16" s="1"/>
  <c r="I216" i="16"/>
  <c r="L216" i="16" s="1"/>
  <c r="I192" i="16"/>
  <c r="L192" i="16" s="1"/>
  <c r="L191" i="16" s="1"/>
  <c r="I162" i="16"/>
  <c r="L162" i="16" s="1"/>
  <c r="I136" i="16"/>
  <c r="L136" i="16" s="1"/>
  <c r="L135" i="16" s="1"/>
  <c r="I126" i="16"/>
  <c r="L126" i="16" s="1"/>
  <c r="I87" i="16"/>
  <c r="L87" i="16" s="1"/>
  <c r="L86" i="16" s="1"/>
  <c r="I66" i="16"/>
  <c r="L66" i="16" s="1"/>
  <c r="L65" i="16" s="1"/>
  <c r="I33" i="16"/>
  <c r="L33" i="16" s="1"/>
  <c r="I25" i="16"/>
  <c r="L25" i="16" s="1"/>
  <c r="I285" i="16"/>
  <c r="L285" i="16" s="1"/>
  <c r="I212" i="16"/>
  <c r="L212" i="16" s="1"/>
  <c r="I188" i="16"/>
  <c r="L188" i="16" s="1"/>
  <c r="L187" i="16" s="1"/>
  <c r="I150" i="16"/>
  <c r="L150" i="16" s="1"/>
  <c r="I110" i="16"/>
  <c r="L110" i="16" s="1"/>
  <c r="I101" i="16"/>
  <c r="L101" i="16" s="1"/>
  <c r="I85" i="16"/>
  <c r="L85" i="16" s="1"/>
  <c r="I76" i="16"/>
  <c r="L76" i="16" s="1"/>
  <c r="I64" i="16"/>
  <c r="L64" i="16" s="1"/>
  <c r="I54" i="16"/>
  <c r="L54" i="16" s="1"/>
  <c r="I20" i="16"/>
  <c r="L20" i="16" s="1"/>
  <c r="I16" i="16"/>
  <c r="L16" i="16" s="1"/>
  <c r="I255" i="16"/>
  <c r="L255" i="16" s="1"/>
  <c r="L254" i="16" s="1"/>
  <c r="I209" i="16"/>
  <c r="L209" i="16" s="1"/>
  <c r="I92" i="16"/>
  <c r="L92" i="16" s="1"/>
  <c r="L91" i="16" s="1"/>
  <c r="I59" i="16"/>
  <c r="L59" i="16" s="1"/>
  <c r="I157" i="16"/>
  <c r="L157" i="16" s="1"/>
  <c r="I63" i="16"/>
  <c r="L63" i="16" s="1"/>
  <c r="I57" i="16"/>
  <c r="L57" i="16" s="1"/>
  <c r="K33" i="16"/>
  <c r="K119" i="16"/>
  <c r="K106" i="16"/>
  <c r="K34" i="16"/>
  <c r="K64" i="16"/>
  <c r="K43" i="16"/>
  <c r="K242" i="16"/>
  <c r="K241" i="16" s="1"/>
  <c r="K175" i="16"/>
  <c r="K174" i="16" s="1"/>
  <c r="K152" i="16"/>
  <c r="K151" i="16" s="1"/>
  <c r="K121" i="16"/>
  <c r="K178" i="16"/>
  <c r="K96" i="16"/>
  <c r="K37" i="16"/>
  <c r="K36" i="16" s="1"/>
  <c r="K157" i="16"/>
  <c r="K197" i="16"/>
  <c r="M197" i="16" s="1"/>
  <c r="K113" i="16"/>
  <c r="K206" i="16"/>
  <c r="K205" i="16" s="1"/>
  <c r="K56" i="16"/>
  <c r="K55" i="16" s="1"/>
  <c r="K233" i="16"/>
  <c r="M233" i="16" s="1"/>
  <c r="K110" i="16"/>
  <c r="M110" i="16" s="1"/>
  <c r="K196" i="16"/>
  <c r="K195" i="16" s="1"/>
  <c r="K92" i="16"/>
  <c r="K91" i="16" s="1"/>
  <c r="K192" i="16"/>
  <c r="K191" i="16" s="1"/>
  <c r="K266" i="16"/>
  <c r="K109" i="16"/>
  <c r="M109" i="16" s="1"/>
  <c r="K257" i="16"/>
  <c r="M257" i="16" s="1"/>
  <c r="K148" i="16"/>
  <c r="K147" i="16" s="1"/>
  <c r="K221" i="16"/>
  <c r="K263" i="16"/>
  <c r="K15" i="16"/>
  <c r="K201" i="16"/>
  <c r="K176" i="16"/>
  <c r="K193" i="16"/>
  <c r="K219" i="16"/>
  <c r="M219" i="16" s="1"/>
  <c r="K144" i="16"/>
  <c r="K143" i="16" s="1"/>
  <c r="K19" i="16"/>
  <c r="M19" i="16" s="1"/>
  <c r="K186" i="16"/>
  <c r="K185" i="16" s="1"/>
  <c r="K231" i="16"/>
  <c r="K230" i="16" s="1"/>
  <c r="K137" i="16"/>
  <c r="M137" i="16" s="1"/>
  <c r="K253" i="16"/>
  <c r="K70" i="16"/>
  <c r="M70" i="16" s="1"/>
  <c r="K190" i="16"/>
  <c r="K189" i="16" s="1"/>
  <c r="K120" i="16"/>
  <c r="K215" i="16"/>
  <c r="M215" i="16" s="1"/>
  <c r="K102" i="16"/>
  <c r="K200" i="16"/>
  <c r="M200" i="16" s="1"/>
  <c r="K270" i="16"/>
  <c r="K154" i="16"/>
  <c r="M154" i="16" s="1"/>
  <c r="K277" i="16"/>
  <c r="M277" i="16" s="1"/>
  <c r="K150" i="16"/>
  <c r="K224" i="16"/>
  <c r="M224" i="16" s="1"/>
  <c r="K265" i="16"/>
  <c r="M265" i="16" s="1"/>
  <c r="K172" i="16"/>
  <c r="M172" i="16" s="1"/>
  <c r="K71" i="16"/>
  <c r="M71" i="16" s="1"/>
  <c r="K93" i="16"/>
  <c r="M93" i="16" s="1"/>
  <c r="K44" i="16"/>
  <c r="K228" i="16"/>
  <c r="M228" i="16" s="1"/>
  <c r="K27" i="16"/>
  <c r="K26" i="16" s="1"/>
  <c r="K51" i="16"/>
  <c r="K50" i="16" s="1"/>
  <c r="K235" i="16"/>
  <c r="M235" i="16" s="1"/>
  <c r="K164" i="16"/>
  <c r="K163" i="16" s="1"/>
  <c r="K47" i="16"/>
  <c r="K208" i="16"/>
  <c r="M208" i="16" s="1"/>
  <c r="K279" i="16"/>
  <c r="K153" i="16"/>
  <c r="K14" i="16"/>
  <c r="K80" i="16"/>
  <c r="K214" i="16"/>
  <c r="K213" i="16" s="1"/>
  <c r="K125" i="16"/>
  <c r="M125" i="16" s="1"/>
  <c r="K243" i="16"/>
  <c r="M243" i="16" s="1"/>
  <c r="K115" i="16"/>
  <c r="K218" i="16"/>
  <c r="K217" i="16" s="1"/>
  <c r="K280" i="16"/>
  <c r="K166" i="16"/>
  <c r="K165" i="16" s="1"/>
  <c r="K88" i="16"/>
  <c r="K173" i="16"/>
  <c r="K227" i="16"/>
  <c r="K268" i="16"/>
  <c r="M268" i="16" s="1"/>
  <c r="K209" i="16"/>
  <c r="K18" i="16"/>
  <c r="K17" i="16" s="1"/>
  <c r="K24" i="16"/>
  <c r="K49" i="16"/>
  <c r="K260" i="16"/>
  <c r="M260" i="16" s="1"/>
  <c r="K32" i="16"/>
  <c r="K31" i="16" s="1"/>
  <c r="K73" i="16"/>
  <c r="M73" i="16" s="1"/>
  <c r="K141" i="16"/>
  <c r="M141" i="16" s="1"/>
  <c r="K264" i="16"/>
  <c r="M264" i="16" s="1"/>
  <c r="K57" i="16"/>
  <c r="K276" i="16"/>
  <c r="K38" i="16"/>
  <c r="K188" i="16"/>
  <c r="K187" i="16" s="1"/>
  <c r="K28" i="16"/>
  <c r="K84" i="16"/>
  <c r="M84" i="16" s="1"/>
  <c r="K52" i="16"/>
  <c r="M52" i="16" s="1"/>
  <c r="K129" i="16"/>
  <c r="K128" i="16" s="1"/>
  <c r="K248" i="16"/>
  <c r="K127" i="16"/>
  <c r="M127" i="16" s="1"/>
  <c r="K222" i="16"/>
  <c r="M222" i="16" s="1"/>
  <c r="K261" i="16"/>
  <c r="K211" i="16"/>
  <c r="K210" i="16" s="1"/>
  <c r="K90" i="16"/>
  <c r="M90" i="16" s="1"/>
  <c r="K170" i="16"/>
  <c r="K232" i="16"/>
  <c r="K282" i="16"/>
  <c r="K75" i="16"/>
  <c r="K74" i="16" s="1"/>
  <c r="K53" i="16"/>
  <c r="K85" i="16"/>
  <c r="K108" i="16"/>
  <c r="K126" i="16"/>
  <c r="M126" i="16" s="1"/>
  <c r="K132" i="16"/>
  <c r="K118" i="16"/>
  <c r="K117" i="16" s="1"/>
  <c r="K133" i="16"/>
  <c r="K95" i="16"/>
  <c r="K124" i="16"/>
  <c r="M124" i="16" s="1"/>
  <c r="K40" i="16"/>
  <c r="K131" i="16"/>
  <c r="M131" i="16" s="1"/>
  <c r="K20" i="16"/>
  <c r="M20" i="16" s="1"/>
  <c r="K58" i="16"/>
  <c r="M58" i="16" s="1"/>
  <c r="K63" i="16"/>
  <c r="K239" i="16"/>
  <c r="K54" i="16"/>
  <c r="K204" i="16"/>
  <c r="K30" i="16"/>
  <c r="K105" i="16"/>
  <c r="K104" i="16" s="1"/>
  <c r="K59" i="16"/>
  <c r="K136" i="16"/>
  <c r="K135" i="16" s="1"/>
  <c r="K255" i="16"/>
  <c r="K254" i="16" s="1"/>
  <c r="K149" i="16"/>
  <c r="K225" i="16"/>
  <c r="M225" i="16" s="1"/>
  <c r="K272" i="16"/>
  <c r="K234" i="16"/>
  <c r="K94" i="16"/>
  <c r="M94" i="16" s="1"/>
  <c r="K177" i="16"/>
  <c r="K244" i="16"/>
  <c r="L17" i="16" l="1"/>
  <c r="L26" i="16"/>
  <c r="L31" i="16"/>
  <c r="L36" i="16"/>
  <c r="L21" i="16"/>
  <c r="L13" i="16"/>
  <c r="L12" i="16" s="1"/>
  <c r="J214" i="16"/>
  <c r="J213" i="16" s="1"/>
  <c r="J182" i="16"/>
  <c r="J181" i="16"/>
  <c r="M106" i="16"/>
  <c r="M232" i="16"/>
  <c r="M132" i="16"/>
  <c r="M47" i="16"/>
  <c r="M157" i="16"/>
  <c r="M88" i="16"/>
  <c r="L275" i="16"/>
  <c r="M85" i="16"/>
  <c r="M177" i="16"/>
  <c r="M43" i="16"/>
  <c r="M150" i="16"/>
  <c r="M119" i="16"/>
  <c r="M49" i="16"/>
  <c r="L226" i="16"/>
  <c r="M244" i="16"/>
  <c r="M201" i="16"/>
  <c r="M116" i="16"/>
  <c r="M207" i="16"/>
  <c r="M35" i="16"/>
  <c r="M108" i="16"/>
  <c r="M34" i="16"/>
  <c r="M204" i="16"/>
  <c r="M80" i="16"/>
  <c r="M120" i="16"/>
  <c r="M178" i="16"/>
  <c r="M173" i="16"/>
  <c r="M96" i="16"/>
  <c r="M24" i="16"/>
  <c r="M15" i="16"/>
  <c r="M28" i="16"/>
  <c r="M102" i="16"/>
  <c r="M64" i="16"/>
  <c r="M89" i="16"/>
  <c r="M261" i="16"/>
  <c r="M14" i="16"/>
  <c r="M239" i="16"/>
  <c r="M133" i="16"/>
  <c r="M248" i="16"/>
  <c r="M153" i="16"/>
  <c r="M193" i="16"/>
  <c r="M54" i="16"/>
  <c r="M95" i="16"/>
  <c r="M280" i="16"/>
  <c r="M121" i="16"/>
  <c r="M63" i="16"/>
  <c r="M209" i="16"/>
  <c r="M115" i="16"/>
  <c r="M44" i="16"/>
  <c r="M253" i="16"/>
  <c r="M266" i="16"/>
  <c r="L278" i="16"/>
  <c r="M234" i="16"/>
  <c r="M30" i="16"/>
  <c r="M40" i="16"/>
  <c r="L169" i="16"/>
  <c r="M285" i="16"/>
  <c r="M180" i="16"/>
  <c r="M23" i="16"/>
  <c r="M145" i="16"/>
  <c r="M146" i="16"/>
  <c r="M38" i="16"/>
  <c r="L220" i="16"/>
  <c r="L283" i="16"/>
  <c r="M216" i="16"/>
  <c r="M78" i="16"/>
  <c r="M72" i="16"/>
  <c r="M240" i="16"/>
  <c r="M138" i="16"/>
  <c r="M76" i="16"/>
  <c r="M130" i="16"/>
  <c r="M161" i="16"/>
  <c r="M167" i="16"/>
  <c r="M16" i="16"/>
  <c r="M238" i="16"/>
  <c r="M39" i="16"/>
  <c r="M62" i="16"/>
  <c r="M53" i="16"/>
  <c r="M149" i="16"/>
  <c r="M282" i="16"/>
  <c r="M57" i="16"/>
  <c r="M33" i="16"/>
  <c r="M48" i="16"/>
  <c r="M245" i="16"/>
  <c r="M77" i="16"/>
  <c r="M281" i="16"/>
  <c r="M212" i="16"/>
  <c r="M223" i="16"/>
  <c r="M176" i="16"/>
  <c r="M113" i="16"/>
  <c r="M100" i="16"/>
  <c r="M194" i="16"/>
  <c r="M168" i="16"/>
  <c r="M101" i="16"/>
  <c r="M171" i="16"/>
  <c r="M103" i="16"/>
  <c r="L262" i="16"/>
  <c r="L258" i="16"/>
  <c r="M256" i="16"/>
  <c r="M83" i="16"/>
  <c r="M29" i="16"/>
  <c r="M107" i="16"/>
  <c r="M25" i="16"/>
  <c r="M79" i="16"/>
  <c r="M142" i="16"/>
  <c r="M59" i="16"/>
  <c r="M179" i="16"/>
  <c r="M158" i="16"/>
  <c r="M267" i="16"/>
  <c r="M162" i="16"/>
  <c r="M114" i="16"/>
  <c r="M252" i="16"/>
  <c r="M99" i="16"/>
  <c r="K12" i="16"/>
  <c r="J206" i="16"/>
  <c r="J205" i="16" s="1"/>
  <c r="J126" i="16"/>
  <c r="J190" i="16"/>
  <c r="J189" i="16" s="1"/>
  <c r="J196" i="16"/>
  <c r="J195" i="16" s="1"/>
  <c r="J109" i="16"/>
  <c r="J235" i="16"/>
  <c r="J232" i="16"/>
  <c r="J127" i="16"/>
  <c r="J149" i="16"/>
  <c r="J113" i="16"/>
  <c r="J193" i="16"/>
  <c r="J209" i="16"/>
  <c r="J124" i="16"/>
  <c r="J208" i="16"/>
  <c r="J221" i="16"/>
  <c r="J75" i="16"/>
  <c r="J74" i="16" s="1"/>
  <c r="J73" i="16"/>
  <c r="J228" i="16"/>
  <c r="J106" i="16"/>
  <c r="J132" i="16"/>
  <c r="J225" i="16"/>
  <c r="J49" i="16"/>
  <c r="J137" i="16"/>
  <c r="J85" i="16"/>
  <c r="J37" i="16"/>
  <c r="J36" i="16" s="1"/>
  <c r="J144" i="16"/>
  <c r="J143" i="16" s="1"/>
  <c r="J14" i="16"/>
  <c r="J120" i="16"/>
  <c r="J93" i="16"/>
  <c r="J54" i="16"/>
  <c r="J131" i="16"/>
  <c r="J102" i="16"/>
  <c r="J260" i="16"/>
  <c r="J152" i="16"/>
  <c r="J151" i="16" s="1"/>
  <c r="J227" i="16"/>
  <c r="J211" i="16"/>
  <c r="J210" i="16" s="1"/>
  <c r="J248" i="16"/>
  <c r="J234" i="16"/>
  <c r="J40" i="16"/>
  <c r="J176" i="16"/>
  <c r="J175" i="16"/>
  <c r="J174" i="16" s="1"/>
  <c r="J59" i="16"/>
  <c r="J282" i="16"/>
  <c r="J95" i="16"/>
  <c r="J96" i="16"/>
  <c r="J30" i="16"/>
  <c r="J172" i="16"/>
  <c r="J261" i="16"/>
  <c r="J52" i="16"/>
  <c r="J70" i="16"/>
  <c r="J266" i="16"/>
  <c r="J157" i="16"/>
  <c r="J34" i="16"/>
  <c r="J18" i="16"/>
  <c r="J17" i="16" s="1"/>
  <c r="J255" i="16"/>
  <c r="J254" i="16" s="1"/>
  <c r="J164" i="16"/>
  <c r="J163" i="16" s="1"/>
  <c r="J277" i="16"/>
  <c r="J215" i="16"/>
  <c r="J133" i="16"/>
  <c r="J264" i="16"/>
  <c r="J153" i="16"/>
  <c r="J192" i="16"/>
  <c r="J191" i="16" s="1"/>
  <c r="J90" i="16"/>
  <c r="J28" i="16"/>
  <c r="J24" i="16"/>
  <c r="J125" i="16"/>
  <c r="J270" i="16"/>
  <c r="J269" i="16" s="1"/>
  <c r="J242" i="16"/>
  <c r="J241" i="16" s="1"/>
  <c r="J58" i="16"/>
  <c r="J129" i="16"/>
  <c r="J128" i="16" s="1"/>
  <c r="J197" i="16"/>
  <c r="J115" i="16"/>
  <c r="J80" i="16"/>
  <c r="J239" i="16"/>
  <c r="J177" i="16"/>
  <c r="J63" i="16"/>
  <c r="J224" i="16"/>
  <c r="J186" i="16"/>
  <c r="J185" i="16" s="1"/>
  <c r="J148" i="16"/>
  <c r="J147" i="16" s="1"/>
  <c r="J253" i="16"/>
  <c r="J263" i="16"/>
  <c r="J119" i="16"/>
  <c r="J178" i="16"/>
  <c r="J204" i="16"/>
  <c r="J276" i="16"/>
  <c r="J32" i="16"/>
  <c r="J31" i="16" s="1"/>
  <c r="J121" i="16"/>
  <c r="J20" i="16"/>
  <c r="J188" i="16"/>
  <c r="J187" i="16" s="1"/>
  <c r="J244" i="16"/>
  <c r="J141" i="16"/>
  <c r="J154" i="16"/>
  <c r="J118" i="16"/>
  <c r="J117" i="16" s="1"/>
  <c r="J84" i="16"/>
  <c r="J233" i="16"/>
  <c r="J43" i="16"/>
  <c r="J57" i="16"/>
  <c r="J88" i="16"/>
  <c r="J136" i="16"/>
  <c r="J135" i="16" s="1"/>
  <c r="J280" i="16"/>
  <c r="J51" i="16"/>
  <c r="J50" i="16" s="1"/>
  <c r="J19" i="16"/>
  <c r="J201" i="16"/>
  <c r="J94" i="16"/>
  <c r="J105" i="16"/>
  <c r="J104" i="16" s="1"/>
  <c r="J108" i="16"/>
  <c r="J173" i="16"/>
  <c r="J218" i="16"/>
  <c r="J217" i="16" s="1"/>
  <c r="J279" i="16"/>
  <c r="J44" i="16"/>
  <c r="J265" i="16"/>
  <c r="J272" i="16"/>
  <c r="J271" i="16" s="1"/>
  <c r="J53" i="16"/>
  <c r="J170" i="16"/>
  <c r="J222" i="16"/>
  <c r="J38" i="16"/>
  <c r="J268" i="16"/>
  <c r="J166" i="16"/>
  <c r="J165" i="16" s="1"/>
  <c r="J243" i="16"/>
  <c r="J47" i="16"/>
  <c r="J27" i="16"/>
  <c r="J26" i="16" s="1"/>
  <c r="J71" i="16"/>
  <c r="J150" i="16"/>
  <c r="J200" i="16"/>
  <c r="J231" i="16"/>
  <c r="J230" i="16" s="1"/>
  <c r="J219" i="16"/>
  <c r="J15" i="16"/>
  <c r="J257" i="16"/>
  <c r="J92" i="16"/>
  <c r="J91" i="16" s="1"/>
  <c r="J56" i="16"/>
  <c r="J55" i="16" s="1"/>
  <c r="J33" i="16"/>
  <c r="M13" i="16"/>
  <c r="M272" i="16"/>
  <c r="M271" i="16" s="1"/>
  <c r="K271" i="16"/>
  <c r="M105" i="16"/>
  <c r="M104" i="16" s="1"/>
  <c r="M211" i="16"/>
  <c r="M210" i="16" s="1"/>
  <c r="M18" i="16"/>
  <c r="M17" i="16" s="1"/>
  <c r="M218" i="16"/>
  <c r="M217" i="16" s="1"/>
  <c r="M214" i="16"/>
  <c r="M213" i="16" s="1"/>
  <c r="M279" i="16"/>
  <c r="K278" i="16"/>
  <c r="M175" i="16"/>
  <c r="M174" i="16" s="1"/>
  <c r="J130" i="16"/>
  <c r="M284" i="16"/>
  <c r="K283" i="16"/>
  <c r="K258" i="16"/>
  <c r="M259" i="16"/>
  <c r="J16" i="16"/>
  <c r="J274" i="16"/>
  <c r="J273" i="16" s="1"/>
  <c r="J99" i="16"/>
  <c r="M118" i="16"/>
  <c r="M117" i="16" s="1"/>
  <c r="M188" i="16"/>
  <c r="M187" i="16" s="1"/>
  <c r="M148" i="16"/>
  <c r="M147" i="16" s="1"/>
  <c r="M192" i="16"/>
  <c r="M191" i="16" s="1"/>
  <c r="M242" i="16"/>
  <c r="M241" i="16" s="1"/>
  <c r="M251" i="16"/>
  <c r="M250" i="16" s="1"/>
  <c r="M46" i="16"/>
  <c r="M45" i="16" s="1"/>
  <c r="J207" i="16"/>
  <c r="J112" i="16"/>
  <c r="J111" i="16" s="1"/>
  <c r="J238" i="16"/>
  <c r="M274" i="16"/>
  <c r="M273" i="16" s="1"/>
  <c r="K273" i="16"/>
  <c r="J39" i="16"/>
  <c r="J62" i="16"/>
  <c r="M255" i="16"/>
  <c r="M254" i="16" s="1"/>
  <c r="M129" i="16"/>
  <c r="M128" i="16" s="1"/>
  <c r="M51" i="16"/>
  <c r="M50" i="16" s="1"/>
  <c r="M270" i="16"/>
  <c r="M269" i="16" s="1"/>
  <c r="K269" i="16"/>
  <c r="M144" i="16"/>
  <c r="M143" i="16" s="1"/>
  <c r="J251" i="16"/>
  <c r="J250" i="16" s="1"/>
  <c r="J89" i="16"/>
  <c r="J46" i="16"/>
  <c r="J45" i="16" s="1"/>
  <c r="J116" i="16"/>
  <c r="J48" i="16"/>
  <c r="J245" i="16"/>
  <c r="J76" i="16"/>
  <c r="J77" i="16"/>
  <c r="J35" i="16"/>
  <c r="M112" i="16"/>
  <c r="M111" i="16" s="1"/>
  <c r="J247" i="16"/>
  <c r="J246" i="16" s="1"/>
  <c r="J156" i="16"/>
  <c r="J155" i="16" s="1"/>
  <c r="J212" i="16"/>
  <c r="M69" i="16"/>
  <c r="M68" i="16" s="1"/>
  <c r="J223" i="16"/>
  <c r="M136" i="16"/>
  <c r="M135" i="16" s="1"/>
  <c r="M56" i="16"/>
  <c r="M55" i="16" s="1"/>
  <c r="J285" i="16"/>
  <c r="J180" i="16"/>
  <c r="J199" i="16"/>
  <c r="J198" i="16" s="1"/>
  <c r="J123" i="16"/>
  <c r="J122" i="16" s="1"/>
  <c r="J101" i="16"/>
  <c r="J146" i="16"/>
  <c r="J171" i="16"/>
  <c r="M247" i="16"/>
  <c r="M246" i="16" s="1"/>
  <c r="J281" i="16"/>
  <c r="M156" i="16"/>
  <c r="M155" i="16" s="1"/>
  <c r="J69" i="16"/>
  <c r="J68" i="16" s="1"/>
  <c r="M170" i="16"/>
  <c r="K169" i="16"/>
  <c r="M166" i="16"/>
  <c r="M165" i="16" s="1"/>
  <c r="M27" i="16"/>
  <c r="M26" i="16" s="1"/>
  <c r="M190" i="16"/>
  <c r="M189" i="16" s="1"/>
  <c r="M231" i="16"/>
  <c r="M230" i="16" s="1"/>
  <c r="M92" i="16"/>
  <c r="M91" i="16" s="1"/>
  <c r="J100" i="16"/>
  <c r="J194" i="16"/>
  <c r="J23" i="16"/>
  <c r="M199" i="16"/>
  <c r="M198" i="16" s="1"/>
  <c r="M123" i="16"/>
  <c r="M122" i="16" s="1"/>
  <c r="J168" i="16"/>
  <c r="J145" i="16"/>
  <c r="J203" i="16"/>
  <c r="J202" i="16" s="1"/>
  <c r="M237" i="16"/>
  <c r="M236" i="16" s="1"/>
  <c r="M66" i="16"/>
  <c r="M65" i="16" s="1"/>
  <c r="J61" i="16"/>
  <c r="J60" i="16" s="1"/>
  <c r="M22" i="16"/>
  <c r="M21" i="16" s="1"/>
  <c r="M276" i="16"/>
  <c r="M275" i="16" s="1"/>
  <c r="K275" i="16"/>
  <c r="M227" i="16"/>
  <c r="M226" i="16" s="1"/>
  <c r="K226" i="16"/>
  <c r="M164" i="16"/>
  <c r="M163" i="16" s="1"/>
  <c r="M186" i="16"/>
  <c r="M185" i="16" s="1"/>
  <c r="M196" i="16"/>
  <c r="M195" i="16" s="1"/>
  <c r="J256" i="16"/>
  <c r="J240" i="16"/>
  <c r="M87" i="16"/>
  <c r="M86" i="16" s="1"/>
  <c r="M42" i="16"/>
  <c r="M41" i="16" s="1"/>
  <c r="M82" i="16"/>
  <c r="M81" i="16" s="1"/>
  <c r="M203" i="16"/>
  <c r="M202" i="16" s="1"/>
  <c r="J237" i="16"/>
  <c r="J236" i="16" s="1"/>
  <c r="J66" i="16"/>
  <c r="J65" i="16" s="1"/>
  <c r="M61" i="16"/>
  <c r="M60" i="16" s="1"/>
  <c r="J22" i="16"/>
  <c r="J21" i="16" s="1"/>
  <c r="J103" i="16"/>
  <c r="M75" i="16"/>
  <c r="M74" i="16" s="1"/>
  <c r="M263" i="16"/>
  <c r="K262" i="16"/>
  <c r="M206" i="16"/>
  <c r="M205" i="16" s="1"/>
  <c r="M37" i="16"/>
  <c r="M36" i="16" s="1"/>
  <c r="M152" i="16"/>
  <c r="M151" i="16" s="1"/>
  <c r="J64" i="16"/>
  <c r="J216" i="16"/>
  <c r="J78" i="16"/>
  <c r="J83" i="16"/>
  <c r="J72" i="16"/>
  <c r="J29" i="16"/>
  <c r="J87" i="16"/>
  <c r="J86" i="16" s="1"/>
  <c r="J42" i="16"/>
  <c r="J41" i="16" s="1"/>
  <c r="J107" i="16"/>
  <c r="J82" i="16"/>
  <c r="J81" i="16" s="1"/>
  <c r="J25" i="16"/>
  <c r="M98" i="16"/>
  <c r="M97" i="16" s="1"/>
  <c r="J160" i="16"/>
  <c r="J159" i="16" s="1"/>
  <c r="J140" i="16"/>
  <c r="J139" i="16" s="1"/>
  <c r="J138" i="16"/>
  <c r="M32" i="16"/>
  <c r="M31" i="16" s="1"/>
  <c r="M221" i="16"/>
  <c r="K220" i="16"/>
  <c r="J110" i="16"/>
  <c r="J179" i="16"/>
  <c r="J161" i="16"/>
  <c r="J158" i="16"/>
  <c r="J167" i="16"/>
  <c r="J267" i="16"/>
  <c r="J284" i="16"/>
  <c r="J283" i="16" s="1"/>
  <c r="J162" i="16"/>
  <c r="J259" i="16"/>
  <c r="J114" i="16"/>
  <c r="J252" i="16"/>
  <c r="J98" i="16"/>
  <c r="J97" i="16" s="1"/>
  <c r="M160" i="16"/>
  <c r="M159" i="16" s="1"/>
  <c r="M140" i="16"/>
  <c r="M139" i="16" s="1"/>
  <c r="J79" i="16"/>
  <c r="J142" i="16"/>
  <c r="M169" i="16" l="1"/>
  <c r="M220" i="16"/>
  <c r="L249" i="16"/>
  <c r="M283" i="16"/>
  <c r="M258" i="16"/>
  <c r="M262" i="16"/>
  <c r="L184" i="16"/>
  <c r="L11" i="16"/>
  <c r="L229" i="16"/>
  <c r="K11" i="16"/>
  <c r="L67" i="16"/>
  <c r="M12" i="16"/>
  <c r="J275" i="16"/>
  <c r="L134" i="16"/>
  <c r="J258" i="16"/>
  <c r="M278" i="16"/>
  <c r="J226" i="16"/>
  <c r="J220" i="16"/>
  <c r="J278" i="16"/>
  <c r="J169" i="16"/>
  <c r="M184" i="16"/>
  <c r="J262" i="16"/>
  <c r="K249" i="16"/>
  <c r="K229" i="16"/>
  <c r="K134" i="16"/>
  <c r="K184" i="16"/>
  <c r="K67" i="16"/>
  <c r="J12" i="16"/>
  <c r="J249" i="16" l="1"/>
  <c r="M249" i="16"/>
  <c r="M134" i="16"/>
  <c r="M229" i="16"/>
  <c r="J11" i="16"/>
  <c r="J134" i="16"/>
  <c r="J229" i="16"/>
  <c r="M11" i="16"/>
  <c r="J67" i="16"/>
  <c r="M67" i="16"/>
  <c r="J184" i="16"/>
  <c r="M183" i="16" l="1"/>
  <c r="J183" i="16"/>
  <c r="M10" i="16"/>
  <c r="J10" i="16"/>
  <c r="M9" i="16" l="1"/>
  <c r="J9" i="16"/>
  <c r="J3" i="16" s="1"/>
</calcChain>
</file>

<file path=xl/sharedStrings.xml><?xml version="1.0" encoding="utf-8"?>
<sst xmlns="http://schemas.openxmlformats.org/spreadsheetml/2006/main" count="1805" uniqueCount="970">
  <si>
    <t>Miqdar</t>
  </si>
  <si>
    <t>Təsviri</t>
  </si>
  <si>
    <t>AZN</t>
  </si>
  <si>
    <t>Ümumi xülasə</t>
  </si>
  <si>
    <t>Məbləğ</t>
  </si>
  <si>
    <t>(A)</t>
  </si>
  <si>
    <t>(B)</t>
  </si>
  <si>
    <t>(C)</t>
  </si>
  <si>
    <t>Bənd</t>
  </si>
  <si>
    <t>Vahid</t>
  </si>
  <si>
    <t>Müqavilə məbləği</t>
  </si>
  <si>
    <t>Vahid qiyməti</t>
  </si>
  <si>
    <t>Tikinti işlərinin planı, proqramı (qrafiki), işçi cizgilər, tikintidən əvvəlki vəziyyəti və işin gedişatını əks etdirən fotolar, faktiki icra cizgiləri, işin gedişatı, keyfiyyətə nəzarət, təhlükəsizliyə nəzarət, ətraf mühitə nəzarət üzrə hesabatların və digər sənədlərin hazırlanması və təqdim edilməsi</t>
  </si>
  <si>
    <t>Müvəqqəti İşlər</t>
  </si>
  <si>
    <t>Müvəqqəti meydança (ərazi), yol və binalar</t>
  </si>
  <si>
    <t>cəm</t>
  </si>
  <si>
    <t>CƏM:</t>
  </si>
  <si>
    <t>Zəmanət və Sığorta</t>
  </si>
  <si>
    <t>ÜMUMİ XÜLASƏ</t>
  </si>
  <si>
    <t>1.1.2</t>
  </si>
  <si>
    <t>Qanunvericiliklə nəzərdə tutulmuş bütün Vergilər, Rüsumlar, Bank xərcləri, bütün işçi heyətinin səhiyyə və pensiya ödənişi, sosial təminat haqları və s.</t>
  </si>
  <si>
    <t xml:space="preserve">Digər nəzərdə tutulan işçilər </t>
  </si>
  <si>
    <t xml:space="preserve">Bütün ixtisaslı işçi heyətinin əmək haqları, Vizalar, İş icazələri, İşçilərə ödənilən kompensasiyalar, bonuslar və əmək məzuniyyəti (həmçinin xarici vətəndaşdırsa) və bunla bağlı olan səyahət xərcləri də daxil olan və bununla məhdudlaşmayan digər xərclər daxildir. </t>
  </si>
  <si>
    <t xml:space="preserve">İşçi heyətinin sahəyə və oradan daşınması xərcləri </t>
  </si>
  <si>
    <t>İşçi heyətinin fərdi mühafizə vasitələri ilə təmin edilməsi ilə bağlı bütün xərclər</t>
  </si>
  <si>
    <t>İşçi heyətinin bütün təhlükəsizlik, sağlamlıq və yaşayış qaydalarına riayət etməsi üçün bütün xərclər və haqlar.</t>
  </si>
  <si>
    <t>İşçi heyətinin yaşayış və məskunlaşma xərcləri</t>
  </si>
  <si>
    <t>İşçi heyətinin yemək xərcləri</t>
  </si>
  <si>
    <t>1.1.1</t>
  </si>
  <si>
    <t>1.1.3</t>
  </si>
  <si>
    <t>İşçi heyətinin mobilizasiyası</t>
  </si>
  <si>
    <t>İşçi heyətinin demobilizsiyası</t>
  </si>
  <si>
    <t>Avadanlıqların, Qurğuların, Maşın və Mexanizmlərin və s. təmin olunması</t>
  </si>
  <si>
    <t>Topoqrafik işçi heyəti</t>
  </si>
  <si>
    <t xml:space="preserve">Şaquli və üfüqi daşımalar (müvəqqəti lift, servis yükləmə platforması və s.), qaldırıcı meydançalar, asma meydançaları, nəqliyyat vasitələri, vasitələr və xidmətlər daxil olmaqla bütün inşaat ləvazimatlarıyla təmin etmək. Ləvazimatlara qoruyucu geyim və təhlükəsizlik avadanlığı da daxil edilir. </t>
  </si>
  <si>
    <t>İcraçının özünə aid olan enerji təchizatı və işıq haqları, su təchizatı, içməli su və sərf materialları da daxil olmaqla ofis, düşərgə, ayaqyolu və digər müvəqqəti qurğuların istismarı və onlara texniki xidmət xərcləri</t>
  </si>
  <si>
    <t>İcraçının özünü bütün mobil telefonlarla təmin etməsi və bütün xidmət haqları və aylıq hesabları öz hesabına ödəməsi</t>
  </si>
  <si>
    <t>Mobilizasiya xərcləri</t>
  </si>
  <si>
    <t>1.5.1</t>
  </si>
  <si>
    <t>1.6.1</t>
  </si>
  <si>
    <t>1.6.5</t>
  </si>
  <si>
    <t>İcraçının özünün məişət obyektləri ilə (icraçının ofisi, istehsalat bazası, düşərgə, ayaqyolu, laboratoriya, anbar və digər tikililərin) təmin etməsi</t>
  </si>
  <si>
    <t xml:space="preserve">Müvəqqəti meydança (ərazi), hasar, barrikada, siqnal lampası, işıqlandırma, xəbərdarlıq işarələri, plakatlar, müvəqqəti tutacaqlar, baryerlər, kənar müdafiə, lövhələr və hər növ təhlükəsizlik ilə əlaqədar önləyici tədbirlərin nəzərə alınması xərcləri </t>
  </si>
  <si>
    <t>Taxtabəndlərin (ayaqaltıların) quraşdırılması və çıxarılması daxil olmaqla İşlərin vaxtında həyata keçirilməsi və tamamlanması üçün zəruri olan bütün müvəqqəti taxtabənd və  aksessuarlarla təmin edilməsi xərcləri.</t>
  </si>
  <si>
    <t>Yekun Muzd</t>
  </si>
  <si>
    <t>ƏDV (18 % x A)</t>
  </si>
  <si>
    <t>Planlama üzrə Menecer</t>
  </si>
  <si>
    <t>Layihələndirmə üzrə Menecer</t>
  </si>
  <si>
    <t>İşçi layihələrin (Shopdrawings) hazırlanması üçün sahə xaricində texniki komanda</t>
  </si>
  <si>
    <t>Müvafiq sayda Nəzarətçi heyət (say qeyd edilməlidir)</t>
  </si>
  <si>
    <t>Sınaq və İstismara vermə işləri – Mühəndis</t>
  </si>
  <si>
    <t>Sınaq və İstismara vermə işləri – Mühəndis köməkçiləri</t>
  </si>
  <si>
    <t>QA/QC - Menecer</t>
  </si>
  <si>
    <t>QA/QC – Elektrik mühəndis</t>
  </si>
  <si>
    <t>QA/QC – Mexanik mühəndis</t>
  </si>
  <si>
    <t>SƏTƏM üzrə menecer</t>
  </si>
  <si>
    <t>SƏTƏM üzrə menecer köməkçisi</t>
  </si>
  <si>
    <t>Kargüzar (Document controller)</t>
  </si>
  <si>
    <t>İşlərin yerinə yetirilməsi üçün lazım olan bütün qurğuların, avadanlıqların, maşın və texnikaların,  əl alətlərinin təmin edilməsi xərcləri</t>
  </si>
  <si>
    <t>1.5.3</t>
  </si>
  <si>
    <t>İcraçının bütün tələb edilən nümunələr, təcrübi modellər, prototiplər, sınaq və yoxlanışlar, əlaqədar sınaq verilənləri və sertifikatlarla Sifarişçiyə təqdim edilməsi</t>
  </si>
  <si>
    <t>Vahid material qiyməti</t>
  </si>
  <si>
    <t>Vahid işçilik qiyməti</t>
  </si>
  <si>
    <t>Cəmi məbləğ</t>
  </si>
  <si>
    <r>
      <t>İşçi layihələrin (Shopdrawings, As-built) hazırlanması üçün sahədə texniki komanda
 (</t>
    </r>
    <r>
      <rPr>
        <i/>
        <sz val="10"/>
        <color theme="1"/>
        <rFont val="Times New Roman"/>
        <family val="1"/>
      </rPr>
      <t>İcraçı işlərin, təqdim edəcək bütün layihələndirmə məlumatlarının faktiki sahə ölçülərinə (as-built) uyğunlaşdırılmış olaraq dizayn etməli və faktiki ölçülər ilə fərqliliyə yol verməməlidir. Faktiki ölçülərdəki digər İcraçılara aid sapma və kənarlaşmalar norma və standartlar daxilində nəzərə alınmalıdır)</t>
    </r>
  </si>
  <si>
    <t xml:space="preserve">Layihənin icrası üçün lazım olan Sahə ofisi və texniki işçilərin işə cəlb edilməsi xərcləri, ofis və ambar konteynerləri,  kompyuter, printer, skaner, plotter vasitələri və işin icrası üçün tələb olunan software proqramları, mebel, dəftərxana,  avadanlıqları, internet, telefon və s. xərclər, avtonəqliyat vasitələri, yoxlama, nəzarət, hazırlıq işləri üçün alət və avadanlıqlar (məsələn test avadanlığı, total station, nivelir və s.) məişət avadanlıqları və kondisionerlər,  köməkçi vasitələr  və s. daxildir.  </t>
  </si>
  <si>
    <t xml:space="preserve">Bu bölməyə layihə ilə bağlı ilkin və dolayı xərclər və eləcə də mobilizasiya və demobilizasiya işləri və onların dəyərləndirilməsi daxildir. </t>
  </si>
  <si>
    <t>İŞLƏRİN HƏCMİ VƏ QİYMƏT CƏDVƏLİ</t>
  </si>
  <si>
    <t>Yekun Muzd ƏDV ilə</t>
  </si>
  <si>
    <t xml:space="preserve">İşəgötürənin məsuliyyət sığortası, maşın mexanizm, texnika və avadanlıqların icbari sığortası, üçüncü şəxsələr qarşısında məsuliyyət sığortası </t>
  </si>
  <si>
    <t>2.1.1</t>
  </si>
  <si>
    <t>2.1.2</t>
  </si>
  <si>
    <t>2.1.3</t>
  </si>
  <si>
    <t>2.1.4</t>
  </si>
  <si>
    <t>2.1.5</t>
  </si>
  <si>
    <t>2.1.6</t>
  </si>
  <si>
    <t>2.1.7</t>
  </si>
  <si>
    <t>2.1.8</t>
  </si>
  <si>
    <t>2.1.9</t>
  </si>
  <si>
    <t>2.1.10</t>
  </si>
  <si>
    <t>2.1.11</t>
  </si>
  <si>
    <t>2.1.12</t>
  </si>
  <si>
    <t>2.1.13</t>
  </si>
  <si>
    <t>2.1.14</t>
  </si>
  <si>
    <t>2.1.15</t>
  </si>
  <si>
    <t>2.1.16</t>
  </si>
  <si>
    <t>2.1.17</t>
  </si>
  <si>
    <t>2.1.18</t>
  </si>
  <si>
    <t>2.1.19</t>
  </si>
  <si>
    <t>III HİSSƏ: ÖLÇÜLMÜŞ İŞLƏR / MEASURED WORKS</t>
  </si>
  <si>
    <t>___________ işləri üzrə Menecer köməkçisi</t>
  </si>
  <si>
    <t>Tikinti üzrə Menecer - ___________ işləri</t>
  </si>
  <si>
    <t>___________ işləri üzrə Layihə Meneceri</t>
  </si>
  <si>
    <r>
      <t xml:space="preserve">Bu bölmədə əsas işlərin  </t>
    </r>
    <r>
      <rPr>
        <b/>
        <sz val="11"/>
        <color theme="1"/>
        <rFont val="Times New Roman"/>
        <family val="1"/>
        <charset val="162"/>
      </rPr>
      <t xml:space="preserve">material </t>
    </r>
    <r>
      <rPr>
        <b/>
        <sz val="11"/>
        <color theme="1"/>
        <rFont val="Times New Roman"/>
        <family val="1"/>
      </rPr>
      <t>və i</t>
    </r>
    <r>
      <rPr>
        <b/>
        <sz val="11"/>
        <color theme="1"/>
        <rFont val="Times New Roman"/>
        <family val="1"/>
        <charset val="162"/>
      </rPr>
      <t>şçilik</t>
    </r>
    <r>
      <rPr>
        <sz val="11"/>
        <color theme="1"/>
        <rFont val="Times New Roman"/>
        <family val="1"/>
        <charset val="162"/>
      </rPr>
      <t xml:space="preserve"> xərcləri orta bazar qiymətləri əsasında, balanslaşdırılmış şəkildə dəyərləndirilməlidir. Qiymətləndirmə zamanı material itkisi, sərfiyyat normaları və əmsallar, işlə bağlı tələb olunan köməkçi materiallar, materialların daşınması eləcə də gömrükləmə xərcləri  nəzərə alınmalıdır. Bu işlərə dair üstəlik və dolayı xərclər, şirkətin mənfəəti vahid qiymətlərə </t>
    </r>
    <r>
      <rPr>
        <b/>
        <sz val="11"/>
        <color theme="1"/>
        <rFont val="Times New Roman"/>
        <family val="1"/>
      </rPr>
      <t xml:space="preserve">daxil edilməməlidir </t>
    </r>
    <r>
      <rPr>
        <sz val="11"/>
        <color theme="1"/>
        <rFont val="Times New Roman"/>
        <family val="1"/>
        <charset val="162"/>
      </rPr>
      <t xml:space="preserve">və qiymət cədvəlinin I ci və II hissələrində öz əksini tapmalıdır. </t>
    </r>
    <r>
      <rPr>
        <b/>
        <sz val="11"/>
        <rFont val="Times New Roman"/>
        <family val="1"/>
      </rPr>
      <t xml:space="preserve">Burada qeyd edilmiş miqdarlar indikativ xarakter daşıyır. </t>
    </r>
    <r>
      <rPr>
        <sz val="11"/>
        <color theme="1"/>
        <rFont val="Times New Roman"/>
        <family val="1"/>
        <charset val="162"/>
      </rPr>
      <t xml:space="preserve"> Həcmlərin hesablanmasında Sifarişçi tərəfindən təqdim edilən </t>
    </r>
    <r>
      <rPr>
        <b/>
        <sz val="11"/>
        <color theme="1"/>
        <rFont val="Times New Roman"/>
        <family val="1"/>
      </rPr>
      <t xml:space="preserve"> İşlərin Təsvirinə və Texniki Sənədlərə</t>
    </r>
    <r>
      <rPr>
        <sz val="11"/>
        <color theme="1"/>
        <rFont val="Times New Roman"/>
        <family val="1"/>
        <charset val="162"/>
      </rPr>
      <t xml:space="preserve"> istinad edilməli və aşağıdakılarla məhdudlaşmayaraq İşlərə aid bütün detallar nəzərə alınmalıdır. </t>
    </r>
  </si>
  <si>
    <t xml:space="preserve">Sahə təhlükəsizlik sistemlərinin təmin olunması </t>
  </si>
  <si>
    <t>İcraçının sağlamlıq və əməyin təhlükəsizliyi və ətraf mühitin mühafizəsi və bununla bağlı zəruri tədbirlərin görülməsinə çəkilən xərclər</t>
  </si>
  <si>
    <r>
      <rPr>
        <b/>
        <i/>
        <sz val="11"/>
        <color rgb="FFFF0000"/>
        <rFont val="Times New Roman"/>
        <family val="1"/>
      </rPr>
      <t>Qeyd :</t>
    </r>
    <r>
      <rPr>
        <b/>
        <i/>
        <sz val="11"/>
        <rFont val="Times New Roman"/>
        <family val="1"/>
      </rPr>
      <t xml:space="preserve"> Qeyd edilən bölmələri dəyərləndirən zaman "daxildir" praktikasından istifadə etmək olmaz, yəni bütün bəndlər balanslaşdırılmış şəkildə qiymətləndirilməlidir !</t>
    </r>
  </si>
  <si>
    <t xml:space="preserve">Bu bölməyə layihə ilə bağlı üstəlik xərclər, o cümlədən administrativ xərclər,  vergi və rüsum ödənişləri, əməyin təhlükəsizliyi ilə bağlı xərclər, baş ofisin xərcləri daxildir </t>
  </si>
  <si>
    <r>
      <t xml:space="preserve">İcra zəmanətinin təmin edilməsi </t>
    </r>
    <r>
      <rPr>
        <b/>
        <sz val="10"/>
        <color rgb="FFCC0099"/>
        <rFont val="Times New Roman"/>
        <family val="1"/>
        <charset val="204"/>
      </rPr>
      <t>5%</t>
    </r>
  </si>
  <si>
    <t xml:space="preserve">Avans zəmanətinin təmin edilməsi </t>
  </si>
  <si>
    <t>ITEM 
NO</t>
  </si>
  <si>
    <t>DESCRIPTION</t>
  </si>
  <si>
    <t>CON</t>
  </si>
  <si>
    <t>SUBCON</t>
  </si>
  <si>
    <t>DIRECT WORKMANSHIP</t>
  </si>
  <si>
    <t>1.1</t>
  </si>
  <si>
    <t>X</t>
  </si>
  <si>
    <t>1.2.1</t>
  </si>
  <si>
    <t>1.2.2</t>
  </si>
  <si>
    <t>1.3</t>
  </si>
  <si>
    <t>1.4</t>
  </si>
  <si>
    <t>1.5</t>
  </si>
  <si>
    <t>1.6</t>
  </si>
  <si>
    <t>1.7</t>
  </si>
  <si>
    <t>1.8</t>
  </si>
  <si>
    <t>1.9</t>
  </si>
  <si>
    <t>1.10</t>
  </si>
  <si>
    <t>Quarantine Expenses (Wage and Other)</t>
  </si>
  <si>
    <t>INDIRECT PERSONNEL</t>
  </si>
  <si>
    <t>2.1</t>
  </si>
  <si>
    <t>2.3</t>
  </si>
  <si>
    <t>2.4</t>
  </si>
  <si>
    <t>2.5</t>
  </si>
  <si>
    <t>2.6</t>
  </si>
  <si>
    <t>2.7</t>
  </si>
  <si>
    <t>2.8</t>
  </si>
  <si>
    <t>2.9</t>
  </si>
  <si>
    <t>2.10</t>
  </si>
  <si>
    <t>SITE OVERHEADS</t>
  </si>
  <si>
    <t>3.1</t>
  </si>
  <si>
    <t>Mobilization Cost</t>
  </si>
  <si>
    <t>3.2</t>
  </si>
  <si>
    <t>Site Offices</t>
  </si>
  <si>
    <t>3.3</t>
  </si>
  <si>
    <t>Warehouse for Handtools and Consumables</t>
  </si>
  <si>
    <t>3.4</t>
  </si>
  <si>
    <t>Temporary water and waste water</t>
  </si>
  <si>
    <t>3.5</t>
  </si>
  <si>
    <t>3.6</t>
  </si>
  <si>
    <t>Lighting Costs</t>
  </si>
  <si>
    <t>3.7</t>
  </si>
  <si>
    <t>Garbage removal &amp; Site Cleaning</t>
  </si>
  <si>
    <t>3.8</t>
  </si>
  <si>
    <t>3.9</t>
  </si>
  <si>
    <t>Office Computers, Devices and Furniture</t>
  </si>
  <si>
    <t>3.10</t>
  </si>
  <si>
    <t>Office internet expenses</t>
  </si>
  <si>
    <t>3.11</t>
  </si>
  <si>
    <t>Mobile phones</t>
  </si>
  <si>
    <t>3.12</t>
  </si>
  <si>
    <t>Stationary</t>
  </si>
  <si>
    <t>PROJECT MATERIAL</t>
  </si>
  <si>
    <t>4.1</t>
  </si>
  <si>
    <t>Project Material</t>
  </si>
  <si>
    <t>TOOLS &amp; CONSUMABLES</t>
  </si>
  <si>
    <t>5.1</t>
  </si>
  <si>
    <t>Handtools &amp; Consumables</t>
  </si>
  <si>
    <t>5.2</t>
  </si>
  <si>
    <t>Slings &amp; Shackle</t>
  </si>
  <si>
    <t>5.3</t>
  </si>
  <si>
    <t>All Temporary Materials</t>
  </si>
  <si>
    <t>5.4</t>
  </si>
  <si>
    <t>HSE Consumables</t>
  </si>
  <si>
    <t>CERTIFICATES AND TESTS</t>
  </si>
  <si>
    <t>6.1</t>
  </si>
  <si>
    <t>Permitting documents by type of activity</t>
  </si>
  <si>
    <t xml:space="preserve"> </t>
  </si>
  <si>
    <t>6.2</t>
  </si>
  <si>
    <t>Working at height</t>
  </si>
  <si>
    <t>6.3</t>
  </si>
  <si>
    <t>Working at cradles</t>
  </si>
  <si>
    <t>6.4</t>
  </si>
  <si>
    <t>Fire-technical minimum (PTM)</t>
  </si>
  <si>
    <t>6.5</t>
  </si>
  <si>
    <t>NAKS Certificates (General)</t>
  </si>
  <si>
    <t>6.6</t>
  </si>
  <si>
    <t>Welder Certificates (Particular for Project)</t>
  </si>
  <si>
    <t>6.7</t>
  </si>
  <si>
    <t>6.8</t>
  </si>
  <si>
    <t>Reinforcement tests</t>
  </si>
  <si>
    <t>6.9</t>
  </si>
  <si>
    <t>Concrete tests</t>
  </si>
  <si>
    <t>6.10</t>
  </si>
  <si>
    <t>Welding test</t>
  </si>
  <si>
    <t>6.11</t>
  </si>
  <si>
    <t>Method of Statement (Preparation of PPR, TechCard etc.)</t>
  </si>
  <si>
    <t>CONSTRUCTION EQUIPMENT &amp; MACHINERY</t>
  </si>
  <si>
    <t>7.1</t>
  </si>
  <si>
    <t>Machinery &amp; Equipment</t>
  </si>
  <si>
    <t>7.2</t>
  </si>
  <si>
    <t>Hi-up</t>
  </si>
  <si>
    <t>7.3</t>
  </si>
  <si>
    <t>Autocrane</t>
  </si>
  <si>
    <t>7.4</t>
  </si>
  <si>
    <t>Aerial platform</t>
  </si>
  <si>
    <t>FINANCIAL EXPENSES &amp; TAX</t>
  </si>
  <si>
    <t>8.1</t>
  </si>
  <si>
    <t>Personnel Tax and Social Insurance</t>
  </si>
  <si>
    <t>8.2</t>
  </si>
  <si>
    <t>Income Tax</t>
  </si>
  <si>
    <t>8.3</t>
  </si>
  <si>
    <t>Bank Comissions</t>
  </si>
  <si>
    <t>8.4</t>
  </si>
  <si>
    <t>Performans Bond</t>
  </si>
  <si>
    <t>8.5</t>
  </si>
  <si>
    <t>Advance Payment Bond</t>
  </si>
  <si>
    <t>8.6</t>
  </si>
  <si>
    <t>All Risk Insurance</t>
  </si>
  <si>
    <t>8.7</t>
  </si>
  <si>
    <t>Unforseen expenses</t>
  </si>
  <si>
    <t>8.8</t>
  </si>
  <si>
    <t>General HQ Expenses</t>
  </si>
  <si>
    <t>9.1</t>
  </si>
  <si>
    <t>Technical Query, Material Aproval Form</t>
  </si>
  <si>
    <t>9.2</t>
  </si>
  <si>
    <t>Preparation of Method Statements</t>
  </si>
  <si>
    <t>9.3</t>
  </si>
  <si>
    <t>Preparing Act and Handover Documents</t>
  </si>
  <si>
    <t>9.4</t>
  </si>
  <si>
    <t>Providing Legal Approvals for Act and other Documents</t>
  </si>
  <si>
    <t>9.5</t>
  </si>
  <si>
    <t>Handing over to authorities</t>
  </si>
  <si>
    <t>9.6</t>
  </si>
  <si>
    <t>Construction Drawings</t>
  </si>
  <si>
    <t>9.7</t>
  </si>
  <si>
    <t>Shop drawings</t>
  </si>
  <si>
    <t>9.8</t>
  </si>
  <si>
    <t>As-built Drawings</t>
  </si>
  <si>
    <t>9.9</t>
  </si>
  <si>
    <t>All necessary quality control documentation</t>
  </si>
  <si>
    <t>9.10</t>
  </si>
  <si>
    <t>9.11</t>
  </si>
  <si>
    <t>Weekly Report</t>
  </si>
  <si>
    <t>9.12</t>
  </si>
  <si>
    <t>Providing the All Indirect Personnel CV</t>
  </si>
  <si>
    <t>9.13</t>
  </si>
  <si>
    <t>Progress Update</t>
  </si>
  <si>
    <t>9.14</t>
  </si>
  <si>
    <t>Incoming Inspection</t>
  </si>
  <si>
    <t>9.15</t>
  </si>
  <si>
    <t>All the required test according to AZDTN standards</t>
  </si>
  <si>
    <t>9.16</t>
  </si>
  <si>
    <t>9.17</t>
  </si>
  <si>
    <t>9.18</t>
  </si>
  <si>
    <t>Winterization</t>
  </si>
  <si>
    <t>9.19</t>
  </si>
  <si>
    <t>All horizontal and vertical transportation</t>
  </si>
  <si>
    <t>9.20</t>
  </si>
  <si>
    <t>9.21</t>
  </si>
  <si>
    <t>9.22</t>
  </si>
  <si>
    <t>9.24</t>
  </si>
  <si>
    <t>9.25</t>
  </si>
  <si>
    <t>Quality control</t>
  </si>
  <si>
    <t>HEALTH AND SAFETY</t>
  </si>
  <si>
    <t>10.1</t>
  </si>
  <si>
    <t>General Site Safety Equipment/Bars/Handrails etc. Material</t>
  </si>
  <si>
    <t>10.2</t>
  </si>
  <si>
    <t>General Site Safety Equipment/Bars/Handrails etc. WorkmanShip</t>
  </si>
  <si>
    <t>10.3</t>
  </si>
  <si>
    <t>Safety Labeling</t>
  </si>
  <si>
    <t>10.4</t>
  </si>
  <si>
    <t>Personal safety equipments and work clothes</t>
  </si>
  <si>
    <t>10.5</t>
  </si>
  <si>
    <t>First aid service</t>
  </si>
  <si>
    <t>10.6</t>
  </si>
  <si>
    <t>Medical expences</t>
  </si>
  <si>
    <t>Ümumi material qiyməti</t>
  </si>
  <si>
    <t>Ümumi işçilik qiyməti</t>
  </si>
  <si>
    <t>Description of Work / İşin təsviri</t>
  </si>
  <si>
    <t>Work Schedule /  İş cədvəli</t>
  </si>
  <si>
    <t>ədəd</t>
  </si>
  <si>
    <t>I HİSSƏ: ÖLÇÜLMÜŞ İŞLƏR / MEASURED WORKS</t>
  </si>
  <si>
    <t>İŞLƏRİN TƏSVİRİ</t>
  </si>
  <si>
    <t>Supplied By/
Təchiz edən</t>
  </si>
  <si>
    <t>Paid By/
Ödəyən</t>
  </si>
  <si>
    <t>REMARKS/QEYDLƏR</t>
  </si>
  <si>
    <t>ƏSAS İŞÇİ HEYƏTİ</t>
  </si>
  <si>
    <t>Wage Expenses</t>
  </si>
  <si>
    <t>Əmək haqqı xərcləri</t>
  </si>
  <si>
    <t>1.2</t>
  </si>
  <si>
    <t>International Transportation Expenses</t>
  </si>
  <si>
    <t>Beynəlxalq nəqliyyat xərcləri</t>
  </si>
  <si>
    <t>Transportation Expenses Inside Azerbaijan</t>
  </si>
  <si>
    <t>Azərbaycan daxili nəqliyyat xərcləri</t>
  </si>
  <si>
    <t>Food Expenses (3 meal)</t>
  </si>
  <si>
    <t>Qidalanma xərcləri (3 yemək)</t>
  </si>
  <si>
    <t>Accommodation Expenses</t>
  </si>
  <si>
    <t>İşçilərin Yerləşim Xərcləri</t>
  </si>
  <si>
    <t>Working Uniform/Dress</t>
  </si>
  <si>
    <t>İş Forması/Geyim</t>
  </si>
  <si>
    <t>Local Transportation</t>
  </si>
  <si>
    <t>İşçilərin Nəqliyyatı</t>
  </si>
  <si>
    <t>Social Security &amp; Medical Expenses</t>
  </si>
  <si>
    <t>Sosial Təminat &amp; Tibbi Xərclər</t>
  </si>
  <si>
    <t>Visa Registration Expenses</t>
  </si>
  <si>
    <t>Viza Qeydiyyatı Xərcləri</t>
  </si>
  <si>
    <t>Karantina Xərcləri (Əmək haqqı və. s)</t>
  </si>
  <si>
    <t>DİGƏR İŞÇİ HEYƏTLƏRİ</t>
  </si>
  <si>
    <t>2.2</t>
  </si>
  <si>
    <t>Qidalanma xərcləri</t>
  </si>
  <si>
    <t>İş Forması/Geyimi</t>
  </si>
  <si>
    <t xml:space="preserve">Social Security &amp; Medical Expenses </t>
  </si>
  <si>
    <t>TİKİNTİ SAHƏSİNİN XƏRCLƏRİ</t>
  </si>
  <si>
    <t>Sahə ofisləri</t>
  </si>
  <si>
    <t>Alətlər və tikinti materialları üçün anbar</t>
  </si>
  <si>
    <t>Müvəqqəti su və Kanalizasiya</t>
  </si>
  <si>
    <t>Prodiving electrical power point</t>
  </si>
  <si>
    <t>Elektrik mənbəyinin təmin edilməsi</t>
  </si>
  <si>
    <t>Zibillərin yığılması və Tikinti sahəsinin təmizliyi</t>
  </si>
  <si>
    <t>Ofis komputerləri, avadanlıqlar və mebellər</t>
  </si>
  <si>
    <t>Ofis internet xərcləri</t>
  </si>
  <si>
    <t>Mobil telefon</t>
  </si>
  <si>
    <t>Stasionar</t>
  </si>
  <si>
    <t>LAYİHƏ MATERİALLARI</t>
  </si>
  <si>
    <t>Layihədə istifadə olunacaq material</t>
  </si>
  <si>
    <t>ALƏT VƏ İSTİFADƏ OLUNAN MATERİALLAR</t>
  </si>
  <si>
    <t>Əl alətləri və tikinti materialları</t>
  </si>
  <si>
    <t>Tal,yükqaldıran avadanlıq və zəncirlərin təmin olunması</t>
  </si>
  <si>
    <t>Bütün müvəqqəti materiallar</t>
  </si>
  <si>
    <t>SERTİFİKATLAR VƏ TESTLƏR</t>
  </si>
  <si>
    <t>Fəaliyyət növünə görə icazə sənədləri</t>
  </si>
  <si>
    <t>Yüksəkdə işləmək</t>
  </si>
  <si>
    <t>Səbətlərdə işləmək</t>
  </si>
  <si>
    <t>Qaynaqçı sertiftikatı (layihəyə bağlı)</t>
  </si>
  <si>
    <t>Other permits required under Azerbaijan law</t>
  </si>
  <si>
    <t>Azərbaycan qanunvericiliyinə uyğun olaraq tələb olunan digər icazələr</t>
  </si>
  <si>
    <t>Armatur testləri</t>
  </si>
  <si>
    <t>Beton testləri</t>
  </si>
  <si>
    <t>Qaynaq testləri</t>
  </si>
  <si>
    <t>İcraat prosesi (PPR və Texniki sədənlərin hazırlanması)</t>
  </si>
  <si>
    <t>İNŞAAT TEXNİKASI VƏ AVADANLIQLAR</t>
  </si>
  <si>
    <t>Texnika və avadanlıqlar</t>
  </si>
  <si>
    <t>Manipulyator</t>
  </si>
  <si>
    <t>Avtokran</t>
  </si>
  <si>
    <t>Avtosəbət</t>
  </si>
  <si>
    <t>İşçilərin vergisi, Sosial sığörta xidmətləri</t>
  </si>
  <si>
    <t>Gəlir vergisi</t>
  </si>
  <si>
    <t>Bank komissiya xidmətləri</t>
  </si>
  <si>
    <t>Bütün risklərin sığörtalanması</t>
  </si>
  <si>
    <t>Gözlənilməz xərclər</t>
  </si>
  <si>
    <t>Ümumi xərclər</t>
  </si>
  <si>
    <t>Texniki Sorğu, Materialın Təsdiq Forması</t>
  </si>
  <si>
    <t>Təhvil təslim aktlarının hazırlanması</t>
  </si>
  <si>
    <t>Akt və digər Sənədlər üçün Hüquqi Təsdiqlərin Təmin edilməsi</t>
  </si>
  <si>
    <t>Səlahiyyətli şəxslərə təhvil verilməsi</t>
  </si>
  <si>
    <t>İşçi layihələr</t>
  </si>
  <si>
    <t>As-built cizgilər</t>
  </si>
  <si>
    <t>Lazımi bütün keyfiyyət kontrol sənədləri</t>
  </si>
  <si>
    <t>Gələn yoxlamalar</t>
  </si>
  <si>
    <t>AZDTN standartlarına uyğun olaraq bütün tələb olunan testlər</t>
  </si>
  <si>
    <t>Keyfiyyətə nəzarət</t>
  </si>
  <si>
    <t>SAĞLAMLIQ VƏ TƏHLÜKƏSİZLİK</t>
  </si>
  <si>
    <t>Təhlükəsizlik plakatları</t>
  </si>
  <si>
    <t>İşçilər üçün təhlükəsizlik geyimləri və avadanlıqları</t>
  </si>
  <si>
    <t>İlkin Tibbi yardım</t>
  </si>
  <si>
    <t>Tibbi xərclər</t>
  </si>
  <si>
    <t>1.3.2</t>
  </si>
  <si>
    <t>II HİSSƏ: İLKİN VƏ DOLAYI XƏRCLƏR / PRELİMİNARİES</t>
  </si>
  <si>
    <t>III HİSSƏ: ÜSTƏLİK XƏRCLƏR / OVERHEAD</t>
  </si>
  <si>
    <t>İcra Zəmanəti</t>
  </si>
  <si>
    <t>Avans Zəmanəti</t>
  </si>
  <si>
    <t>Yanğın zamanı təhlükəsizlik qaydaları</t>
  </si>
  <si>
    <t>NAKS Sertifikatı (Ümumi)</t>
  </si>
  <si>
    <t>PROJECT ORGANIZATIONAL CHART / LAYİHƏNİN İDARƏETMƏ STRUKTURU</t>
  </si>
  <si>
    <t>Start / Başlanğıc</t>
  </si>
  <si>
    <t>Finish / Bitmə tarixi</t>
  </si>
  <si>
    <t>Duration / Müddət</t>
  </si>
  <si>
    <t>Ümumi Sahə Təhlükəsizliyi Avadanlıqlar/Bariyerlər/Məhəccərlər və s. İşçilik</t>
  </si>
  <si>
    <t>Ümumi Sahə Təhlükəsizliyi Avadanlıqlar/Bariyerlər/Məhəccərlər və s. Material</t>
  </si>
  <si>
    <t>İşlərin irəlilləmə raportu</t>
  </si>
  <si>
    <t>İcraat prosesinin hazırlanması</t>
  </si>
  <si>
    <t>3.13</t>
  </si>
  <si>
    <t>3.14</t>
  </si>
  <si>
    <t>m2</t>
  </si>
  <si>
    <t>Surveying Works</t>
  </si>
  <si>
    <t xml:space="preserve">    Şirkətin mənfəəti, %  (Contractor's Gross Profit Margin, (%)</t>
  </si>
  <si>
    <t>9.26</t>
  </si>
  <si>
    <t>Qar təmizliyi</t>
  </si>
  <si>
    <t>Snow Removing</t>
  </si>
  <si>
    <t>Divar işləri</t>
  </si>
  <si>
    <t>Bakı şəhəri, Abşeron rayonu, Bilgəh qəsəbəsi, Zəfəran savxozu ərazisində yerləşən Fərdi yaşayış evi (Əsas Bina) Memarlıq və İnteryer işləri</t>
  </si>
  <si>
    <t>WF-1 Divar tipi</t>
  </si>
  <si>
    <t xml:space="preserve">WF-1 Boya, Betek, Max RAL 9010 </t>
  </si>
  <si>
    <t>Binder</t>
  </si>
  <si>
    <t>Üzlük 3mm (Cilalanma daxildir)</t>
  </si>
  <si>
    <t xml:space="preserve">Fuqa gips (Aralıq doldurma qarışığı), (Dərziband qiymətə daxildir) </t>
  </si>
  <si>
    <t>WF-2 Divar tipi</t>
  </si>
  <si>
    <t>WF-2 Ceramogranit, Albatros 101601, Beton texture, 60x120cm  (Sadəcə işçilik üçün qiymət veiləcəkdir)</t>
  </si>
  <si>
    <t>Yapışdırıcı material 8m</t>
  </si>
  <si>
    <t xml:space="preserve">Sürmə Hidroizolyasiya qatı </t>
  </si>
  <si>
    <t>WF-3 Divar tipi</t>
  </si>
  <si>
    <t>WF-3 Plaster, Pitted PT L0006, Armourcoat</t>
  </si>
  <si>
    <t>WF-4 Divar tipi</t>
  </si>
  <si>
    <t xml:space="preserve">WF-4 Boya, TIKV Tikkurila, WhiteTikkurila </t>
  </si>
  <si>
    <t>WF-5 Divar tipi</t>
  </si>
  <si>
    <t>WF-5 Panel, , BespokeWood Wall Panel  (Panelin quraşdırılması üçün alt materiallar qiymətə daxildir), (Sadəcə işçilik üçün qiymət veiləcəkdir)</t>
  </si>
  <si>
    <t>WF-6 Divar tipi</t>
  </si>
  <si>
    <t>WF-6 Panel, Bespoke, Wood Wall Panel  (Panelin quraşdırılması üçün alt materiallar qiymətə daxildir)  (Sadəcə işçilik üçün qiymət veiləcəkdir)</t>
  </si>
  <si>
    <t>WF-19 Divar tipi</t>
  </si>
  <si>
    <t xml:space="preserve">WF-19 Natural Stone, Travertino Décor </t>
  </si>
  <si>
    <t>WF-20 Divar tipi</t>
  </si>
  <si>
    <t>WF-20 Divar kağızı, Sanderson, CANTALOUPE ENGLISH GREY 216761 (Sadəcə işçilik üçün qiymət veiləcəkdir)</t>
  </si>
  <si>
    <t>WF-25 Divar tipi</t>
  </si>
  <si>
    <t>WF-25 Acoustic Plaster, AAC 10179, Armourcoat</t>
  </si>
  <si>
    <t>WF-27 Divar tipi</t>
  </si>
  <si>
    <t xml:space="preserve">WF-27 Paint Luja 7 SKU 699 White (Waterproof),  Tikkurila </t>
  </si>
  <si>
    <t>WF-27.3 Divar tipi</t>
  </si>
  <si>
    <t xml:space="preserve">WF-27.3 Paint,  F503 Waterproof,  TikTikkurila Waterproofkurila </t>
  </si>
  <si>
    <t>WF-8 Divar tipi</t>
  </si>
  <si>
    <t>Mirror, Custom Made (Bütün alt materialları qiymətə daxildir)</t>
  </si>
  <si>
    <t>Döşəmə işləri</t>
  </si>
  <si>
    <t>F-1 Laminat tipi</t>
  </si>
  <si>
    <t>Laminat  (Sadəcə işçilik üçün qiymət veiləcəkdir)</t>
  </si>
  <si>
    <t>Probka qatı - 2 mm</t>
  </si>
  <si>
    <t>Metal torla gücləndirilmiş sement-qum məhlulundan hamarlayıcı qat - 86mm</t>
  </si>
  <si>
    <t>XPS paneli - 50mm</t>
  </si>
  <si>
    <t>Hidroizolyasiya qatı</t>
  </si>
  <si>
    <t>Ceramogranit, 600 x 1200 mm  x10 mm  (Sadəcə işçilik üçün qiymət veiləcəkdir)</t>
  </si>
  <si>
    <t>Yapışdırıcı qat -5mm</t>
  </si>
  <si>
    <t>Suqoruyucu qat - İzolateks</t>
  </si>
  <si>
    <t>Metal torla güclındirilmiş hamarlayıcı qat (qızdırıcı elementlərlə) - 115mm</t>
  </si>
  <si>
    <t>XPS panelləri - 20mm</t>
  </si>
  <si>
    <t>F-2 Keromaqranit</t>
  </si>
  <si>
    <t>F-3 Epoksid döşəmə (Koridor)</t>
  </si>
  <si>
    <t>Epoksi döşəmə (imitating concrete)</t>
  </si>
  <si>
    <t>Sement-qum məhlulundan hamarlayıcıı qat - 97 mm</t>
  </si>
  <si>
    <t>XPS panelləri - 50 mm</t>
  </si>
  <si>
    <t xml:space="preserve">F-3 Epoksid döşəmə </t>
  </si>
  <si>
    <t>F-5 Daş plitə döşəmə</t>
  </si>
  <si>
    <t>Stone Travertino tile, 280 x 310 mm to 900 x 1320 mm x20 mm (Sadəcə işçilik üçün qiymət veiləcəkdir)</t>
  </si>
  <si>
    <t>Yapışdırıcı qat 5mm</t>
  </si>
  <si>
    <t>Metal torla gücləndirilmiş hamarlayıcı qat (qızdırıcı elementlərlə)-60mm</t>
  </si>
  <si>
    <t>XPS istilik izolyasiya qatı -50mm</t>
  </si>
  <si>
    <t>F-9 döşəmə</t>
  </si>
  <si>
    <t>Gym Flooring, PaviGym Performance, 900x0x5,5 mm (Sadəcə işçilik üçün qiymət veiləcəkdir)</t>
  </si>
  <si>
    <t>Zərbəqoruyucu döşəkçə - 15 mm</t>
  </si>
  <si>
    <t>Elastik poliuretan yapışqan - 7 mm</t>
  </si>
  <si>
    <t>Metal torla gücləndirilmiş hamarlayıcı qat (sement-qum məhlulu) - 91 mm</t>
  </si>
  <si>
    <t>XPS panelləri - 20 mm</t>
  </si>
  <si>
    <t>F-12 döşəmə</t>
  </si>
  <si>
    <t>Ceramogranit, 600 x 60 mm  x10 mm  (Sadəcə işçilik üçün qiymət veiləcəkdir)</t>
  </si>
  <si>
    <t>Yapışdırıcı qat - 5 mm</t>
  </si>
  <si>
    <t>Suqoruyucu qat - İzolatex</t>
  </si>
  <si>
    <t>Metal torla güclındirilmiş hamarlayıcı qat (qızdırıcı elementlərlə) - 115 mm</t>
  </si>
  <si>
    <t>F-14 döşəmə</t>
  </si>
  <si>
    <t>Natural Stone, Travertino Rialto,  (Look at elevation )x 2 cm</t>
  </si>
  <si>
    <t>Yapışdırıcı qat - 5mm</t>
  </si>
  <si>
    <t>Metal torla güclındirilmiş hamarlayıcı qat (qızdırıcı elementlərlə) - 117- 119 mm</t>
  </si>
  <si>
    <t>F-17 döşəmə</t>
  </si>
  <si>
    <t>Terracotta Tiles, Equipe, Kasbah Terracotta (Sadəcə işçilik üçün qiymət veiləcəkdir)</t>
  </si>
  <si>
    <t>Yapışdırıcı qat-5mm</t>
  </si>
  <si>
    <t>Metal torlu hamarlayıcı qat (sement-qum məhlulu) - 87 mm</t>
  </si>
  <si>
    <t>XPS izolyasiya qatı-20mm</t>
  </si>
  <si>
    <t>F-18 döşəmə</t>
  </si>
  <si>
    <t>Ceramic, Dirty White, 200 x 200 x 8 mm (Sadəcə işçilik üçün qiymət veiləcəkdir)</t>
  </si>
  <si>
    <t>Metal torla güclındirilmiş hamarlayıcı qat (qızdırıcı elementlərlə) - 117 mm</t>
  </si>
  <si>
    <t>F-19 döşəmə</t>
  </si>
  <si>
    <t>Mosaic  (Sadəcə işçilik üçün qiymət veiləcəkdir)</t>
  </si>
  <si>
    <t>Metal torlu hamarlayıcı qat (sement-qum məhlulu) - 105 mm</t>
  </si>
  <si>
    <t>XPS panellıri - 20mm</t>
  </si>
  <si>
    <t>Tavan işləri</t>
  </si>
  <si>
    <t>C-1 Asma tavan</t>
  </si>
  <si>
    <t>Fuqa dərz doldurucu, Plastik setka</t>
  </si>
  <si>
    <t>Üzlük qatı</t>
  </si>
  <si>
    <t>Boya qatı Betek, Betek Max RAL 9010</t>
  </si>
  <si>
    <t>C-2 Asma tavan</t>
  </si>
  <si>
    <t>C-3 Asma tavan</t>
  </si>
  <si>
    <t>Boya qatı, Tikkurila, TIKV Tikkurila White</t>
  </si>
  <si>
    <t>C-3A Asma tavan</t>
  </si>
  <si>
    <t>C-4 Asma tavan</t>
  </si>
  <si>
    <t>Boya qatı, Tikkurila, Luja 7 SKU 699 White</t>
  </si>
  <si>
    <t>C-4A Asma tavan</t>
  </si>
  <si>
    <t>C-4B Asma tavan</t>
  </si>
  <si>
    <t>C-8 Akustik  panel</t>
  </si>
  <si>
    <t>Acoustic Panel, CEWOOD, Natural Painted, Custom (alt materil daxildir)</t>
  </si>
  <si>
    <t>C-9 Asma tavan</t>
  </si>
  <si>
    <t>Boya qatı, Tikkurila, Finngard Silicone Protect SKU 71000666 White</t>
  </si>
  <si>
    <t>Padakolnik</t>
  </si>
  <si>
    <t>Pəncərə altı padakolnik 1600x420x30mm</t>
  </si>
  <si>
    <t>Yapışdırıcı məhlul</t>
  </si>
  <si>
    <t>Pəncərə altı padakolnik 1600x625x30mm</t>
  </si>
  <si>
    <t>Bakı şəhəri, Abşeron rayonu, Bilgəh qəsəbəsi, Zəfəran savxozu ərazisində yerləşən Fərdi yaşayış evi Əsas Bina və İtlər evində Memari işlər</t>
  </si>
  <si>
    <t>pm</t>
  </si>
  <si>
    <t>Bakı şəhəri, Abşeron rayonu, Bilgəh qəsəbəsi, Zəfəran savxozu ərazisində yerləşən Fərdi yaşayış evi İtlər evi</t>
  </si>
  <si>
    <t>Hörgü işləri və Alçıpan işləri</t>
  </si>
  <si>
    <t>D-01 Hörgü işləri 400mm</t>
  </si>
  <si>
    <t>"Kubik" 400mm hörgü daşı ilə hörgü  (Qum və sement məhluli daxil)</t>
  </si>
  <si>
    <t>D-02Hörgü işləri 200mm</t>
  </si>
  <si>
    <t>"Kubik" 200mm hörgü daşı ilə hörgü  (Qum və sement məhluli daxil)</t>
  </si>
  <si>
    <t>D-03Hörgü işləri 100mm</t>
  </si>
  <si>
    <t>"Qırmızı kərpic" 100mm hörgü daşı ilə hörgü  (Qum və sement məhluli daxil)</t>
  </si>
  <si>
    <t>Dekorativ Suvaq 2mm(memar tərəfindən təsdiqlənəcək), (Qapı və pəncərə boşluqları həcmdən çıxarılmışdır)</t>
  </si>
  <si>
    <t>Əhəng əsaslı suvaq 2mm, (Qapı və pəncərə boşluqları həcmdən çıxarılmışdır)</t>
  </si>
  <si>
    <t>Qum-sement əsaslı suvaq 30mm, (Qapı və pəncərə boşluqları həcmdən çıxarılmışdır)</t>
  </si>
  <si>
    <t>XU-01 Xarici divar işləri</t>
  </si>
  <si>
    <t>XU-02 Xarici divar süpürgəlik</t>
  </si>
  <si>
    <t>Binanın perimetri boyu "Ağlay" daşından süpürgəlik - 20x50(h) (48 p/m)</t>
  </si>
  <si>
    <t>Qum-sement əsaslı məhlul</t>
  </si>
  <si>
    <t>DU-1 daxili divar işləri (Kubik divar olan hissələr)</t>
  </si>
  <si>
    <t>Əhəng əsaslı suvaq 2mm, (Astar+Üzlük+Binder) (Qapı və pəncərə boşluqları həcmdən çıxarılmışdır)</t>
  </si>
  <si>
    <t>Su əsaslı boya (Rəng kodu: NCS S 0502-R50B) (Qapı və pəncərə boşluqları həcmdən çıxarılmışdır)</t>
  </si>
  <si>
    <t>DU-1 daxili divar işləri (Alçipan divar olan hissələr)</t>
  </si>
  <si>
    <t>Əhəng əsaslı suvaq 2mm, (Fuqa+Üzlük+Binder) (Qapı və pəncərə boşluqları həcmdən çıxarılmışdır)</t>
  </si>
  <si>
    <t xml:space="preserve"> DU-2 daxili divar işləri (Kubik divar olan hissələr)</t>
  </si>
  <si>
    <t>Kafel yapışdırıcı 2mm (Qapı və pəncərə boşluqları həcmdən çıxarılmışdır)</t>
  </si>
  <si>
    <t>Metro White Bevelled Ceramic Gloss Tile 200X50mm10mm (Qapı və pəncərə boşluqları həcmdən çıxarılmışdır)</t>
  </si>
  <si>
    <t>DU-2 daxili divar işləri (Alçipan divar olan hissələr)</t>
  </si>
  <si>
    <t>Linolium yapişdirici qat çıxarılmışdır)</t>
  </si>
  <si>
    <t>Linolium</t>
  </si>
  <si>
    <t>DU-3 daxili divar işləri (Kubik divar olan hissələr)</t>
  </si>
  <si>
    <t>DU-4 daxili divar işləri (Alçipan divar olan hissələr)</t>
  </si>
  <si>
    <t xml:space="preserve">A-01 1400x400x200mm Atma Beton (Armatur, Beton , Qəlib qiymətə daxildir)  </t>
  </si>
  <si>
    <t xml:space="preserve">A-02 1200x400x200mm Atma Beton və armatur ilə beton atma (Armatur, Beton , Qəlib qiymətə daxildir)  </t>
  </si>
  <si>
    <t xml:space="preserve">A-03 1200x400x200mm Atma Beton və armatur ilə beton atma (Armatur, Beton , Qəlib qiymətə daxildir)  </t>
  </si>
  <si>
    <t xml:space="preserve">A-04 800x200x200mm Atma Beton və armatur ilə beton atma (Armatur, Beton , Qəlib qiymətə daxildir)  </t>
  </si>
  <si>
    <t xml:space="preserve">A-05 900x200x200mm Atma Beton və armatur ilə beton atma (Armatur, Beton , Qəlib qiymətə daxildir)   </t>
  </si>
  <si>
    <t>Pəncərə və qapı üstü atmalar</t>
  </si>
  <si>
    <t>Pəncərə sillələri</t>
  </si>
  <si>
    <t>Pəncərə silləsi Corian(Aspen h=40 1450x300mm) daş</t>
  </si>
  <si>
    <t>Pəncərə silləsi Corian(Aspen h=40 1250x300mm) daş</t>
  </si>
  <si>
    <t>F-01 Döşəmə</t>
  </si>
  <si>
    <t>Laminat - 15mm</t>
  </si>
  <si>
    <t>Yapışdırıcı qat 2mm</t>
  </si>
  <si>
    <t>Dikt - 10mm</t>
  </si>
  <si>
    <t>Sement-qum məhlulundan hamarlayıcı qat - 70mm</t>
  </si>
  <si>
    <t>F-02 Döşəmə</t>
  </si>
  <si>
    <t>Keramik Marvel terazzo white mosaico 300x300 8mm</t>
  </si>
  <si>
    <t>Metal torla güclındirilmiş maili hamarlayıcı qat (qızdırıcı elementlərlə+ isti pol trubalari) - 80 mm</t>
  </si>
  <si>
    <t>Suqoruyucu qat</t>
  </si>
  <si>
    <t>F-03 Döşəmə</t>
  </si>
  <si>
    <t>Linolium Marmoleum Piano frosty grey -5mm</t>
  </si>
  <si>
    <t>Sement-qum məhlulundan hamarlayıcı qat - 80mm</t>
  </si>
  <si>
    <t>Süpürgəlik</t>
  </si>
  <si>
    <t>MDF süpürgəlik</t>
  </si>
  <si>
    <t>Divar üzərində Süpürgəlik h=100mm</t>
  </si>
  <si>
    <t>T-01 Tavan</t>
  </si>
  <si>
    <t>İki qat alçıpan 12,5mm</t>
  </si>
  <si>
    <t xml:space="preserve">Əhəng əsaslı suvaq 2mm, (Fuqa+Üzlük+Binder) </t>
  </si>
  <si>
    <t>Su əsaslı boya Ağ rəng</t>
  </si>
  <si>
    <t>T-02 Tavan</t>
  </si>
  <si>
    <t>İki qat Suyadavamlı alçıpan 12,5mm</t>
  </si>
  <si>
    <t>T-03 Tavan</t>
  </si>
  <si>
    <t>Tavanın paxtalanması</t>
  </si>
  <si>
    <t>Dam işləri</t>
  </si>
  <si>
    <t>Gravel 100mm</t>
  </si>
  <si>
    <t>Su-sement məhlulundan hamarlayıcı qat 30mm</t>
  </si>
  <si>
    <t>Gücləndirilmiş maillik qatı 50mm</t>
  </si>
  <si>
    <t>XPS 100mm</t>
  </si>
  <si>
    <t>Buxar izolyasiyası</t>
  </si>
  <si>
    <t>Parapet üstü papalığın quraşıdırılması işləri</t>
  </si>
  <si>
    <t xml:space="preserve">- Termo isti aqlay papaqlığ                                                                                                                                              - Kley yapışdırıcı (mata)                                                                                                                       - Pena şişməyən                                                                                                                                                - Silikonlu astar boya                     </t>
  </si>
  <si>
    <t>Pergola işləri</t>
  </si>
  <si>
    <t>- HE 200B Profil 200x200mm                                                                                                                                 - Steel Box Profile 200x200 mm                                                                                                                                              -Wood Batten 30x150 mm  (0,61m3)  9 ədəd L=15m                                                                                                                                          - Bütün bağlantı və digər materiallar qiymətə daxildir</t>
  </si>
  <si>
    <t>Radiatorlar üçün Metal barmaqlıq</t>
  </si>
  <si>
    <t>Radiator Metal barmaqlıq 800x450mm</t>
  </si>
  <si>
    <t>Pəncərələr</t>
  </si>
  <si>
    <t>P-01 Çərçivə Alümnium, rəngi RAL 7022 satin, Gücləndirilimiş, bişirilmiş, zərbəyə davamlı ikiqat şüşə 1600x1200mm</t>
  </si>
  <si>
    <t>P-02 Çərçivə Alüminium, rəngi RAL 7022 satin, ikiqat şüşə içəriyə, sola açılır 1400x1600mm</t>
  </si>
  <si>
    <t>Qapılar</t>
  </si>
  <si>
    <t>DQ-02 MDF Qapı 700x2000mm</t>
  </si>
  <si>
    <t>DQ-03 MDF Qapı 800x2000mm</t>
  </si>
  <si>
    <t>DQ-04 Zərbəyə davamlı ikiqat şüşə,alüminium çərçıvə 900x2070mm</t>
  </si>
  <si>
    <t>XQ-01 Çərçivə Alümnium,gücləndirilimiş, bişirilmiş, zərbəyə davamlı ikiqat şüşə 1400m2200mm</t>
  </si>
  <si>
    <t>Pəncərə altı karnizlər</t>
  </si>
  <si>
    <t>P-01 Pəncərələrdə Karniz altlığı gizli olacaqdır.</t>
  </si>
  <si>
    <t>Paduqa karnizlər</t>
  </si>
  <si>
    <t>Link vəya şəkil</t>
  </si>
  <si>
    <t>RESPONSIBILITY MATRIX FOR ARCHITECTURE WORKS/MEMARLIQ İŞLƏRİ ÜÇÜN TƏRƏFLƏRİN MƏSULİYYƏT CƏDVƏLİ</t>
  </si>
  <si>
    <t>Elektrik xərcləri</t>
  </si>
  <si>
    <t>Electricity Costs</t>
  </si>
  <si>
    <t>İşıqlandırma xərcləri</t>
  </si>
  <si>
    <t>Elektrik kabelləri</t>
  </si>
  <si>
    <t>Electrical cables from power point</t>
  </si>
  <si>
    <t>4.2</t>
  </si>
  <si>
    <t>Layihə materialının təsdiqi</t>
  </si>
  <si>
    <t>Approval of project material</t>
  </si>
  <si>
    <t>Sətəm üçün istehsal materialları</t>
  </si>
  <si>
    <t xml:space="preserve">MALLİYƏ XƏRCLƏR VƏ VERGİ </t>
  </si>
  <si>
    <t>ƏRAZİDƏ OLAN İŞLƏR</t>
  </si>
  <si>
    <t>SITE ACTIVITIES</t>
  </si>
  <si>
    <t xml:space="preserve">Bütün Personel CV-nin təmin edilməsi </t>
  </si>
  <si>
    <t>Scaffoldlarin tamin olunmasi qurasdirilmasi</t>
  </si>
  <si>
    <t>Scaffolding material and scaffolding installation</t>
  </si>
  <si>
    <t>Topoqraf işləri</t>
  </si>
  <si>
    <t>Bütün artıq layihə materialları müvafiq sənədlərlə birlikdə Podratçıya təhvil veriləcək</t>
  </si>
  <si>
    <t>All surplus project materials will be handed over to Contractor with proper documentation</t>
  </si>
  <si>
    <t>Qış şəraitində işlərin görülməsi</t>
  </si>
  <si>
    <t>Horizontal və Vertiqal daşınmalar</t>
  </si>
  <si>
    <t>Protection of the material until delivery of the material</t>
  </si>
  <si>
    <t>Sahədə cavabdeh şəxlərin olması</t>
  </si>
  <si>
    <t>Having responsible individuals on the site.</t>
  </si>
  <si>
    <t>Beton dəliklərin açılması</t>
  </si>
  <si>
    <t>The concrete hole drilling works</t>
  </si>
  <si>
    <t>Görülən işlərin sınaqdan keçirilməsi, yoxlanılması və sənədləşdirilməsi</t>
  </si>
  <si>
    <t>Testing, inspection, and documentation of the performed works</t>
  </si>
  <si>
    <t>Hidroizolyasiya və İzolateks</t>
  </si>
  <si>
    <t>Waterproofing and Isolatex</t>
  </si>
  <si>
    <t>9.27</t>
  </si>
  <si>
    <t>9.28</t>
  </si>
  <si>
    <t>Döşəmə örtükləri</t>
  </si>
  <si>
    <t xml:space="preserve">Floor coverings </t>
  </si>
  <si>
    <t>9.29</t>
  </si>
  <si>
    <t>9.30</t>
  </si>
  <si>
    <t>9.31</t>
  </si>
  <si>
    <t>9.32</t>
  </si>
  <si>
    <t>9.33</t>
  </si>
  <si>
    <t xml:space="preserve">Arnatur ilə beton </t>
  </si>
  <si>
    <t>Reinforcing wıth Concrete</t>
  </si>
  <si>
    <t>9.34</t>
  </si>
  <si>
    <t>9.35</t>
  </si>
  <si>
    <t>Şap beton</t>
  </si>
  <si>
    <t>Screen Concrete</t>
  </si>
  <si>
    <t>9.36</t>
  </si>
  <si>
    <t>9.37</t>
  </si>
  <si>
    <t>9.38</t>
  </si>
  <si>
    <t>9.39</t>
  </si>
  <si>
    <t>9.40</t>
  </si>
  <si>
    <t>9.41</t>
  </si>
  <si>
    <t>9.42</t>
  </si>
  <si>
    <t>9.43</t>
  </si>
  <si>
    <t>9.44</t>
  </si>
  <si>
    <t>9.45</t>
  </si>
  <si>
    <t xml:space="preserve">Subcontractor : </t>
  </si>
  <si>
    <t>M-1 Cornice Moulding Custom Made Gypsum 300 x 300 mm</t>
  </si>
  <si>
    <t>M-2 Cornice Moulding Custom Made Gypsum 550 x 330 mm</t>
  </si>
  <si>
    <t>M-3 Cornice Moulding Custom Made Gypsum 20 x 40 mm</t>
  </si>
  <si>
    <t>M-4 Cornice Moulding Custom Made Gypsum 70 x 120 mm</t>
  </si>
  <si>
    <t>M-5 Cornice Moulding Custom Made Gypsum 50 x 100 mm</t>
  </si>
  <si>
    <t>M-6 Cornice Moulding Custom Made Gypsum 200 x 100 mm</t>
  </si>
  <si>
    <t>M-7 Cornice Moulding Custom Made Gypsum 230 x 300 mm</t>
  </si>
  <si>
    <t>M-8 Cornice Moulding Custom Made Gypsum 120 x 160 mm</t>
  </si>
  <si>
    <t>m3</t>
  </si>
  <si>
    <t>Metal ve Demir beton konstruksiya işləri</t>
  </si>
  <si>
    <t>9.23</t>
  </si>
  <si>
    <t>Metal konstruksiyanın təmin olunması, çatdırılması və quraşdırılması</t>
  </si>
  <si>
    <t>Supply, delivery, and installation of structural steel</t>
  </si>
  <si>
    <t>Metal konstruksiyanın qumlanması boyanması  kəsilməsi, çatdırılması və quraşdırılması</t>
  </si>
  <si>
    <t>Sandblasting, painting, cutting, delivery and installation of metal structures</t>
  </si>
  <si>
    <t>Görülən bütün qaynaq işlərin test olunması və nəticənin sifarişçiyə verilməsi</t>
  </si>
  <si>
    <t>Testing of all welding works performed and provision of the test results to the client.</t>
  </si>
  <si>
    <t>Prior to submitting a bid, a site visit will be conducted, and based on the preparedness of the site, a cost analysis will be performed before providing the proposal</t>
  </si>
  <si>
    <t>Təklifi verilmədən qabaq Sahə gəzintisi olacaq və sahənin işə hazırlıq vəziyyətinə görə qiymət analizinin olunaraq təklifin verilməsi</t>
  </si>
  <si>
    <t>Formwork preparation, assembling and disassembling</t>
  </si>
  <si>
    <t>Reinforcement cutting,twisting and erection</t>
  </si>
  <si>
    <t>Threading coupling connected</t>
  </si>
  <si>
    <t xml:space="preserve">Reinforcement Erection </t>
  </si>
  <si>
    <t>Pouring of concrete, surface peraparation, curing and protection</t>
  </si>
  <si>
    <t>Close of concrete area w/ tent &amp; heating inside of tent - Material</t>
  </si>
  <si>
    <t>Close of concrete area w/ tent &amp; heating inside of tent - Workmanship</t>
  </si>
  <si>
    <t>Pouring of lean concrete and formwork preparation</t>
  </si>
  <si>
    <t>Anchors bolt, embedded items and joint erection</t>
  </si>
  <si>
    <t>Workmanship of formwork scaffolding</t>
  </si>
  <si>
    <t>Bituminous Works around fnd.</t>
  </si>
  <si>
    <t>Loading and Unloading works (only workmanship)</t>
  </si>
  <si>
    <t>Installation of Penoplex Insulation</t>
  </si>
  <si>
    <t xml:space="preserve">Corrugated Steel Sheet Formwork for above steel structures </t>
  </si>
  <si>
    <t>Installation of Anchor Bolt Boxes</t>
  </si>
  <si>
    <t>Installation of Waterstops</t>
  </si>
  <si>
    <t>Installation of Polyethylene Sheet</t>
  </si>
  <si>
    <t>Concrete Heating</t>
  </si>
  <si>
    <t>Concrete puncture</t>
  </si>
  <si>
    <t>Armaturun kəsilməsi, əyilməsi və quraşdırılması</t>
  </si>
  <si>
    <t>Qəlibin hazırlanması, quraşdırılması və sökülməsi</t>
  </si>
  <si>
    <t>Mufta ilə birləşdirilmiş yivli armatur</t>
  </si>
  <si>
    <t>Armaturun quraşdırılması</t>
  </si>
  <si>
    <t>Betonun tökülməsi, səthin hazırlanması, bərkiməsi (curing) və mühafizəsi</t>
  </si>
  <si>
    <t>Beton sahəsinin çadırla bağlanması və çadırın daxilinin isidilməsi – Material</t>
  </si>
  <si>
    <t>Beton sahəsinin çadırla bağlanması və çadırın daxilinin isidilməsi – İşçilik</t>
  </si>
  <si>
    <t>Nazik betonun (podbeton) tökülməsi və qəlib işlərinin hazırlanması</t>
  </si>
  <si>
    <t>Anker boltları, daxil edilmiş elementlər (zakladnoy detallar) və birləşmələrin quraşdırılması</t>
  </si>
  <si>
    <t>Qəlib və iskələ(skafold) işçiliyi</t>
  </si>
  <si>
    <t>Bünövrə ətrafında bitumlu izolyasiya işləri</t>
  </si>
  <si>
    <t>Yükləmə və boşaltma işləri (yalnız işçilik)</t>
  </si>
  <si>
    <t>"Penoplex" izolyasiyasının quraşdırılması</t>
  </si>
  <si>
    <t>Polad konstruksiyalar üçün profilli polad təbəqəli (trapez) qəlib</t>
  </si>
  <si>
    <t>Anker bolt qutularının quraşdırılması</t>
  </si>
  <si>
    <t>Hidrostopların (su saxlayıcıların) quraşdırılması</t>
  </si>
  <si>
    <t>Polietilen təbəqənin (plyonkanın) quraşdırılması/döşənməsi</t>
  </si>
  <si>
    <t>Betonun qızdırılması</t>
  </si>
  <si>
    <t>Betonun deşilməsi</t>
  </si>
  <si>
    <t>Contractor : AZCD</t>
  </si>
  <si>
    <t>Günlük raportların AZCD- ə verilməsi</t>
  </si>
  <si>
    <t>Həftəlik  raportların AZCD- ə verilməsi</t>
  </si>
  <si>
    <t>Daily Report according to AZCD reports</t>
  </si>
  <si>
    <t>Materialın əraziyə çatdırılması və qorunması</t>
  </si>
  <si>
    <t>Qapalı sahələrdə işləyən işçilər üçün müvəqqəti havalandırma üçün ventilyatorların (fanların) və havalandırma kanallarının təmini və quraşdırılması</t>
  </si>
  <si>
    <t>Supply and installation of ventilators (fans) and ventilation ducts for temporary ventilation for workers working in enclosed areas</t>
  </si>
  <si>
    <t xml:space="preserve">Qapalı sahələrdə işləyən işçilər üçün müvəqqəti işıqlandırmanın və elektrik xəttinin çəkilməsi </t>
  </si>
  <si>
    <t>Installation of temporary lighting and power lines for workers working in confined spaces</t>
  </si>
  <si>
    <t>9.46</t>
  </si>
  <si>
    <t>9.47</t>
  </si>
  <si>
    <t>9.48</t>
  </si>
  <si>
    <t>9.49</t>
  </si>
  <si>
    <t>9.50</t>
  </si>
  <si>
    <t>9.51</t>
  </si>
  <si>
    <t>9.52</t>
  </si>
  <si>
    <t>9.53</t>
  </si>
  <si>
    <t>9.54</t>
  </si>
  <si>
    <t>İnyeksiya üçün nasos və digər avadanlıqlar</t>
  </si>
  <si>
    <t>7.5</t>
  </si>
  <si>
    <t>Injection pump and other equipment</t>
  </si>
  <si>
    <t>İnyeksiya olunan deşiklər hava kompressor ilə təmizlənməlidir çirk ve tozdan</t>
  </si>
  <si>
    <t>The injection holes should be cleaned of dirt and dust with an air compressor</t>
  </si>
  <si>
    <t>9.55</t>
  </si>
  <si>
    <t>III.  İlkin və dolayı xərclər (Contractor's Preliminaries)</t>
  </si>
  <si>
    <t>IV. Üstəlik xərclər (Contractor's Overhead)</t>
  </si>
  <si>
    <t>I.    Ölçülmüş işlər Beton konstruksiya işləri (BOQ-Measured Works)</t>
  </si>
  <si>
    <t>Qazıntı</t>
  </si>
  <si>
    <t>Dolgu işləri</t>
  </si>
  <si>
    <t>Qoruyucu qat</t>
  </si>
  <si>
    <t>İzolyasiya işləri</t>
  </si>
  <si>
    <t>Dəmir beton işləri</t>
  </si>
  <si>
    <t>Tava bünövrə</t>
  </si>
  <si>
    <t>ton</t>
  </si>
  <si>
    <t>Sütunlar</t>
  </si>
  <si>
    <t>Pərdə divarlar</t>
  </si>
  <si>
    <t>Rigerlər</t>
  </si>
  <si>
    <t>Pilləkan</t>
  </si>
  <si>
    <t>Örtük döşəmə (-0.15 msl, +4.30 msl, +5.70 msl)</t>
  </si>
  <si>
    <t>Metal konstruksiyalar</t>
  </si>
  <si>
    <t>Ələt Azad İqtisadi Zonasında tikilməsi nəzərdə tutulan su anbarları, içməli və yağış suyu xətlərində Dəmir beton işləri</t>
  </si>
  <si>
    <t>m</t>
  </si>
  <si>
    <t>Açıqlama</t>
  </si>
  <si>
    <t>(Yalnız işçilik qiymətləndiriləcəkdir)</t>
  </si>
  <si>
    <t>Ələt Azad İqtisadi Zonasında tikilməsi nəzərdə tutulan su anbarları, içməli və yağış suyu xətlərinin tikintisi Memarlıq işləri</t>
  </si>
  <si>
    <t>Keramik plitələr</t>
  </si>
  <si>
    <t>Sement məhlulu ilə stəjka, qalınlığı 30 mm</t>
  </si>
  <si>
    <t>Keramik plintus (h=100 mm)</t>
  </si>
  <si>
    <t>Keramik</t>
  </si>
  <si>
    <t>Epoksid</t>
  </si>
  <si>
    <t>Su keçirməyən örtük (brend alternativləri və ya oxşar məhsullar: Sika Top Seal 107, BASF Ancronal 5442)</t>
  </si>
  <si>
    <t>Qranit</t>
  </si>
  <si>
    <t>Qranit plintus (h=100 mm)</t>
  </si>
  <si>
    <t>Qumla fırçalanmış qranit üzlük, 600x400x20 m</t>
  </si>
  <si>
    <t>Giriş pilləkənləri, Qranit pillə üzlüyü (basamaq 30 mm, qaldırıcı 20 mm)</t>
  </si>
  <si>
    <t>Pilləkan qranit</t>
  </si>
  <si>
    <t>TAVAN</t>
  </si>
  <si>
    <t>Su keçirməyən örtük (brend alternativləri və ya oxşar məhsullar: Sika Top Seal 107, BASF Ancronal 5442), Sement-polimer hidroizolyasiya (Sika Top Seal 107 və ya ekv.)</t>
  </si>
  <si>
    <t xml:space="preserve">Suya davamlı emulsiya boyası (rütubət üçün, RAL-9010, brend alternativləri və ya oxşar məhsullar: JOTUN, BETEK), </t>
  </si>
  <si>
    <t>DİVAR</t>
  </si>
  <si>
    <t>Sement-polimer əsaslı iki komponentli su keçirməyən qoruyucu örtük (brend alternativləri və ya oxşar məhsullar: Sika Top Seal 107, BASF Ancronal 5442)</t>
  </si>
  <si>
    <t>Suya davamlı emulsiya boyası (rütubət üçün, RAL-9010, brend alternativləri və ya oxşar məhsullar: JOTUN, BETEK)</t>
  </si>
  <si>
    <t>Xarici yanğına davamlı qapı (boyalı RAL-7036, brend alternativləri və ya oxşar məhsullar: MKSmetal), Yanğına davamlı metal qapı EI120, 3200x3100 mm</t>
  </si>
  <si>
    <t>II.   Ölçülmüş işlər Memarlıq işləri (BOQ-Measured Works)</t>
  </si>
  <si>
    <t xml:space="preserve">Bünövrə oturma səviyyəsinə qədər səviyyələrin endirilməsi üçün qazıntı və qazıntı başa çatdıqdan sonra mexaniki üsulla sıxlaşdırma  </t>
  </si>
  <si>
    <t xml:space="preserve">Qazılmış torpağın utilizasiyası (daşınması)   </t>
  </si>
  <si>
    <t xml:space="preserve">Spesifikasiyaya uyğun olaraq xırdalanmış çınqıl və ya qırmadaşdan istifadə etməklə doldurma və mexaniki üsulla sıxlaşdırma (h:100 mm)  </t>
  </si>
  <si>
    <t xml:space="preserve">Əvvəlcədən qazılmış torpaqla geri doldurma  </t>
  </si>
  <si>
    <t xml:space="preserve">Beton altına polietilen salafan təbəqənin sərilməsi (Polietilen plyonka)  </t>
  </si>
  <si>
    <t xml:space="preserve">Hazırlıq qatı  beton B7.5, bünövrə plitələri üçün hazırlıq qatı (h:100 mm) (Beton B7.5)  </t>
  </si>
  <si>
    <t xml:space="preserve">Bitumla yapışdırılmış 2qat ruberoidlə üfüqi hidroizolyasiya edilməsi   </t>
  </si>
  <si>
    <t xml:space="preserve">Qoruyucu-hamarlayıcı qatın sement məhlulundan düzəldilməsi 30mm   </t>
  </si>
  <si>
    <t xml:space="preserve">Bitumla yapışdırılmış 2qat ruberoidlə üfüqi hidroizolyasiya edilməsi  </t>
  </si>
  <si>
    <t xml:space="preserve">XPS 50mm  </t>
  </si>
  <si>
    <t xml:space="preserve">Drenaj lövhəsinin (drain board) quraşdırılması  </t>
  </si>
  <si>
    <t xml:space="preserve">Sulfata davamlı beton B25 W8  </t>
  </si>
  <si>
    <t xml:space="preserve">Qəlib işləri   </t>
  </si>
  <si>
    <t xml:space="preserve">Armatur, sinif A500C Ø10 mm  </t>
  </si>
  <si>
    <t xml:space="preserve">Armatur, sinif A500C Ø14 mm  </t>
  </si>
  <si>
    <t xml:space="preserve">Armatur, sinif A-I (A240) Ø8 mm  </t>
  </si>
  <si>
    <t xml:space="preserve">Armatur, sinif A500C Ø16 mm  </t>
  </si>
  <si>
    <t xml:space="preserve">Armatur, sinif A500C Ø18 mm  </t>
  </si>
  <si>
    <t xml:space="preserve">Qəlib işləri     </t>
  </si>
  <si>
    <t xml:space="preserve">Armatur, sinif A500C Ø12 mm  </t>
  </si>
  <si>
    <t xml:space="preserve">Beton B25  </t>
  </si>
  <si>
    <t xml:space="preserve">Armatur, sinif A500C Ø20 mm  </t>
  </si>
  <si>
    <t xml:space="preserve">Armatur, sinif A500C Ø25 mm  </t>
  </si>
  <si>
    <t xml:space="preserve">Qəlib işləri    </t>
  </si>
  <si>
    <t xml:space="preserve">Polad U-profil (şveller), U-profil 14П   </t>
  </si>
  <si>
    <t xml:space="preserve">Polad borular, Ø30 mm, divar qalınlığı 2 mm  </t>
  </si>
  <si>
    <t xml:space="preserve">Anker boltları M14, L = 250 mm  </t>
  </si>
  <si>
    <t xml:space="preserve">Polad lövhə t=10 mm  </t>
  </si>
  <si>
    <t xml:space="preserve">Polad lövhə t=4 mm  </t>
  </si>
  <si>
    <t>ŞIRKƏT ADI : "İNDUSTRİAL SERVİCES CONSTRUCTİON GROUP" MMC</t>
  </si>
  <si>
    <t xml:space="preserve">                         LAYİHƏ RƏHBƏRİ / LAYİHƏ MENECERİ</t>
  </si>
  <si>
    <t xml:space="preserve">                                      │</t>
  </si>
  <si>
    <t xml:space="preserve">             ┌────────────────────────┼────────────────────────┐</t>
  </si>
  <si>
    <t xml:space="preserve">             │                        │                        │</t>
  </si>
  <si>
    <t xml:space="preserve">             ▼                        ▼                        ▼</t>
  </si>
  <si>
    <t xml:space="preserve">      MENECER KÖMƏKÇİLƏRİ       PLANLAMA MENECERİ      LAYİHƏLƏNDİRMƏ</t>
  </si>
  <si>
    <t xml:space="preserve">           2 nəfər                    1 nəfər              MENECERİ</t>
  </si>
  <si>
    <t xml:space="preserve">                                                               │</t>
  </si>
  <si>
    <t xml:space="preserve">                                                               ▼</t>
  </si>
  <si>
    <t xml:space="preserve">                                                    SHOPDRAWING / AS-BUILT</t>
  </si>
  <si>
    <t xml:space="preserve">                                                       TEXNİKİ KOMANDA</t>
  </si>
  <si>
    <t xml:space="preserve">                                                           4 nəfər</t>
  </si>
  <si>
    <t xml:space="preserve">             ├────────────────────────┼────────────────────────┤</t>
  </si>
  <si>
    <t xml:space="preserve">       TİKİNTİ MENECERİ          QA/QC MENECERİ           SƏTƏM MENECERİ</t>
  </si>
  <si>
    <t xml:space="preserve">       2 nəfər                        │                         │</t>
  </si>
  <si>
    <t xml:space="preserve">             │                 ┌──────┼──────┐                 │</t>
  </si>
  <si>
    <t xml:space="preserve">             │                 │      │      │                 ▼</t>
  </si>
  <si>
    <t xml:space="preserve">             │                 ▼      ▼      ▼          SƏTƏM KÖMƏKÇİSİ</t>
  </si>
  <si>
    <t xml:space="preserve">             │              QA/QC   QA/QC   SINAQ              1 nəfər</t>
  </si>
  <si>
    <t xml:space="preserve">             │              ELEKTRİK MEXANİK VƏ</t>
  </si>
  <si>
    <t xml:space="preserve">             │              MÜH.     MÜH.   İSTİSMAR</t>
  </si>
  <si>
    <t xml:space="preserve">             │                               MÜH.</t>
  </si>
  <si>
    <t xml:space="preserve">             │</t>
  </si>
  <si>
    <t xml:space="preserve">             ├───────────────┬───────────────┐</t>
  </si>
  <si>
    <t xml:space="preserve">             ▼               ▼               ▼</t>
  </si>
  <si>
    <t xml:space="preserve">        ARMATUR İŞLƏRİ    QƏLİB İŞLƏRİ    BETON İŞLƏRİ</t>
  </si>
  <si>
    <t xml:space="preserve">             │               │               │</t>
  </si>
  <si>
    <t xml:space="preserve">             └───────────────┼───────────────┘</t>
  </si>
  <si>
    <t xml:space="preserve">                             ▼</t>
  </si>
  <si>
    <t xml:space="preserve">                       SAHƏ İCRA HEYƏTİ</t>
  </si>
  <si>
    <t xml:space="preserve">                             │</t>
  </si>
  <si>
    <t xml:space="preserve">                    ┌────────┴────────┐</t>
  </si>
  <si>
    <t xml:space="preserve">                    ▼                 ▼</t>
  </si>
  <si>
    <t xml:space="preserve">              NƏZARƏTÇİ HEYƏTİ    TOPOQRAF</t>
  </si>
  <si>
    <t xml:space="preserve">                   2 nəfər           1 nəfər</t>
  </si>
  <si>
    <t xml:space="preserve">                    │</t>
  </si>
  <si>
    <t xml:space="preserve">                    ▼</t>
  </si>
  <si>
    <t xml:space="preserve">              FƏHLƏ VƏ KÖMƏKÇİ</t>
  </si>
  <si>
    <t xml:space="preserve">                 İŞÇİLƏRİ</t>
  </si>
  <si>
    <t>Layihə üzrə idarəetmə və mühəndis-texniki heyət</t>
  </si>
  <si>
    <t>№</t>
  </si>
  <si>
    <t>Vəzifə</t>
  </si>
  <si>
    <t>Say</t>
  </si>
  <si>
    <t>Layihə Meneceri</t>
  </si>
  <si>
    <t>Layihə Menecerinin köməkçisi</t>
  </si>
  <si>
    <t>Shopdrawing / As-built üzrə texniki heyət</t>
  </si>
  <si>
    <t>Sahə xarici texniki layihələndirmə heyəti</t>
  </si>
  <si>
    <t>Dəmir-beton işləri üzrə Tikinti Meneceri</t>
  </si>
  <si>
    <t>Ümumi tikinti işləri üzrə Tikinti Meneceri</t>
  </si>
  <si>
    <t>Nəzarətçi</t>
  </si>
  <si>
    <t>Sınaq və istismara vermə mühəndisi</t>
  </si>
  <si>
    <t>Sınaq və istismara vermə mühəndisinin köməkçisi</t>
  </si>
  <si>
    <t>QA/QC Meneceri</t>
  </si>
  <si>
    <t>QA/QC Elektrik mühəndisi</t>
  </si>
  <si>
    <t>QA/QC Mexanik mühəndisi</t>
  </si>
  <si>
    <t>SƏTƏM Meneceri</t>
  </si>
  <si>
    <t>SƏTƏM Menecerinin köməkçisi</t>
  </si>
  <si>
    <t>Document Controller / Kargüzar</t>
  </si>
  <si>
    <t>Topoqraf</t>
  </si>
  <si>
    <t>Digər texniki və inzibati heyət</t>
  </si>
  <si>
    <r>
      <t>Qeyd:</t>
    </r>
    <r>
      <rPr>
        <sz val="20"/>
        <color theme="1"/>
        <rFont val="Calibri"/>
        <family val="2"/>
        <scheme val="minor"/>
      </rPr>
      <t xml:space="preserve"> Layihənin iş həcminə və iş qrafikinə uyğun olaraq fəhlə heyətinin sayı və tərkibi işlərin intensivliyinə əsasən dəyişdirilə bilər.</t>
    </r>
  </si>
  <si>
    <t>2. BAŞ OFİSİN LAYİHƏ ÜZRƏ İDARƏETMƏ VƏ FUNKSİONAL DƏSTƏK STRUKTURU</t>
  </si>
  <si>
    <t xml:space="preserve">                         ISCG MMC – BAŞ OFİS</t>
  </si>
  <si>
    <t xml:space="preserve">                                │</t>
  </si>
  <si>
    <t xml:space="preserve">                                ▼</t>
  </si>
  <si>
    <t xml:space="preserve">                         BAŞ DİREKTOR</t>
  </si>
  <si>
    <t xml:space="preserve">       ┌───────────────┬────────┼────────┬───────────────┐</t>
  </si>
  <si>
    <t xml:space="preserve">       │               │        │        │               │</t>
  </si>
  <si>
    <t xml:space="preserve">       ▼               ▼        ▼        ▼               ▼</t>
  </si>
  <si>
    <t xml:space="preserve">  TEXNİKİ          KOMMERSİYA  MALİYYƏ  SATINALMA       HÜQUQ</t>
  </si>
  <si>
    <t xml:space="preserve">  DİREKTORLUQ      / TENDER     VƏ       VƏ TƏCHİZAT    ŞÖBƏSİ</t>
  </si>
  <si>
    <t xml:space="preserve">       │             ŞÖBƏSİ   MÜHASİBAT       │</t>
  </si>
  <si>
    <t xml:space="preserve">       │                                  │</t>
  </si>
  <si>
    <t xml:space="preserve">       ├── Baş mühəndis                  ├── Material</t>
  </si>
  <si>
    <t xml:space="preserve">       ├── QA/QC                         ├── Avadanlıq</t>
  </si>
  <si>
    <t xml:space="preserve">       ├── Layihələndirmə                └── Logistika</t>
  </si>
  <si>
    <t xml:space="preserve">       └── Texniki dəstək</t>
  </si>
  <si>
    <t xml:space="preserve">       │</t>
  </si>
  <si>
    <t xml:space="preserve">       └──────────────────────┐</t>
  </si>
  <si>
    <t xml:space="preserve">                              │</t>
  </si>
  <si>
    <t xml:space="preserve">                              ▼</t>
  </si>
  <si>
    <t xml:space="preserve">                    LAYİHƏ MENECERİ</t>
  </si>
  <si>
    <t xml:space="preserve">                    İLƏ KOORDİNASİYA</t>
  </si>
  <si>
    <t xml:space="preserve">             ┌────────────────┼────────────────┐</t>
  </si>
  <si>
    <t xml:space="preserve">             │                │                │</t>
  </si>
  <si>
    <t xml:space="preserve">             ▼                ▼                ▼</t>
  </si>
  <si>
    <t xml:space="preserve">           HR              SƏTƏM          SƏNƏDLƏŞMƏ</t>
  </si>
  <si>
    <t xml:space="preserve">         ŞÖBƏSİ          ŞÖBƏSİ /         VƏ ARXİVLƏŞDİRMƏ</t>
  </si>
  <si>
    <t xml:space="preserve">                         TƏHLÜKƏSİZLİK</t>
  </si>
  <si>
    <t>Baş Ofisin layihə üzrə funksiyaları</t>
  </si>
  <si>
    <t>Baş Ofis funksiyası</t>
  </si>
  <si>
    <t>Layihəyə göstərilən dəstək</t>
  </si>
  <si>
    <t>Baş Direktor</t>
  </si>
  <si>
    <t>Layihənin ümumi strateji və inzibati idarə edilməsi, əsas qərarların qəbul edilməsi</t>
  </si>
  <si>
    <t>Texniki Direktorluq / Baş Mühəndis</t>
  </si>
  <si>
    <t>Texniki məsələlərə, metodologiyaya və layihə həllərinə dəstək</t>
  </si>
  <si>
    <t>Kommersiya / Tender Şöbəsi</t>
  </si>
  <si>
    <t>Müqavilə, kommersiya məsələləri, dəyişikliklər və yazışmalar</t>
  </si>
  <si>
    <t>Maliyyə və Mühasibatlıq</t>
  </si>
  <si>
    <t>Büdcə, ödənişlər, əməkhaqqı, maliyyə hesabatları və vergi məsələləri</t>
  </si>
  <si>
    <t>Satınalma və Təchizat</t>
  </si>
  <si>
    <t>Beton, armatur, qəlib materialları, XPS, hidroizolyasiya və digər materialların satın alınması</t>
  </si>
  <si>
    <t>Logistika</t>
  </si>
  <si>
    <t>Material, avadanlıq və işçi heyətinin sahəyə çatdırılmasının koordinasiyası</t>
  </si>
  <si>
    <t>Hüquq Şöbəsi</t>
  </si>
  <si>
    <t>Müqavilələr, hüquqi yazışmalar, iddialar və müqavilə öhdəliklərinin hüquqi təminatı</t>
  </si>
  <si>
    <t>HR</t>
  </si>
  <si>
    <t>İşçilərin seçilməsi, əmək müqavilələri, şəxsi işlər, əməkhaqqı və kadr təminatı</t>
  </si>
  <si>
    <t>QA/QC</t>
  </si>
  <si>
    <t>Keyfiyyət sisteminə metodoloji dəstək, prosedurlar və texniki sənədlərin yoxlanılması</t>
  </si>
  <si>
    <t>SƏTƏM</t>
  </si>
  <si>
    <t>Əməyin təhlükəsizliyi, sağlamlıq və ətraf mühit üzrə sahəyə metodoloji nəzarət</t>
  </si>
  <si>
    <t>Sənədləşmə / Arxiv</t>
  </si>
  <si>
    <t>Layihə sənədlərinin, hesabatların və müqavilə sənədlərinin idarə olunması</t>
  </si>
  <si>
    <t>Müddət</t>
  </si>
  <si>
    <t>10 gün</t>
  </si>
  <si>
    <t>60 gün</t>
  </si>
  <si>
    <t>Ehtiyat/rezerv müddəti</t>
  </si>
  <si>
    <t>İşlərin adı</t>
  </si>
  <si>
    <t>Başlanğıc</t>
  </si>
  <si>
    <t>Bitmə</t>
  </si>
  <si>
    <t>Mobilizasiya və sahənin təşkili</t>
  </si>
  <si>
    <t>1-ci gün</t>
  </si>
  <si>
    <t>10-cu gün</t>
  </si>
  <si>
    <t>Topoqrafik ölçmə və nişanlama işləri</t>
  </si>
  <si>
    <t>Qazıntı işləri</t>
  </si>
  <si>
    <t>5-ci gün</t>
  </si>
  <si>
    <t>45-ci gün</t>
  </si>
  <si>
    <t>41 gün</t>
  </si>
  <si>
    <t>Qazılmış torpağın daşınması/utilizasiyası</t>
  </si>
  <si>
    <t>36 gün</t>
  </si>
  <si>
    <t>Mexaniki sıxlaşdırma</t>
  </si>
  <si>
    <t>25-ci gün</t>
  </si>
  <si>
    <t>50-ci gün</t>
  </si>
  <si>
    <t>26 gün</t>
  </si>
  <si>
    <t>Çınqıl/qırmadaşla dolğu və sıxlaşdırma</t>
  </si>
  <si>
    <t>60-cı gün</t>
  </si>
  <si>
    <t>16 gün</t>
  </si>
  <si>
    <t>Geri doldurma işləri</t>
  </si>
  <si>
    <t>70-ci gün</t>
  </si>
  <si>
    <t>21 gün</t>
  </si>
  <si>
    <t>Polietilen plyonkanın sərilməsi</t>
  </si>
  <si>
    <t>55-ci gün</t>
  </si>
  <si>
    <t>65-ci gün</t>
  </si>
  <si>
    <t>11 gün</t>
  </si>
  <si>
    <t>B7.5 hazırlıq betonunun tökülməsi</t>
  </si>
  <si>
    <t>75-ci gün</t>
  </si>
  <si>
    <t>Hidroizolyasiya işləri</t>
  </si>
  <si>
    <t>100-cü gün</t>
  </si>
  <si>
    <t>31 gün</t>
  </si>
  <si>
    <t>XPS və drenaj lövhələrinin quraşdırılması</t>
  </si>
  <si>
    <t>90-cı gün</t>
  </si>
  <si>
    <t>115-ci gün</t>
  </si>
  <si>
    <t>Tava bünövrə – armatur işləri</t>
  </si>
  <si>
    <t>110-cu gün</t>
  </si>
  <si>
    <t>Tava bünövrə – qəlib işləri</t>
  </si>
  <si>
    <t>120-ci gün</t>
  </si>
  <si>
    <t>Tava bünövrə – beton işləri</t>
  </si>
  <si>
    <t>130-cu gün</t>
  </si>
  <si>
    <t>Sütunların armatur və qəlib işləri</t>
  </si>
  <si>
    <t>125-ci gün</t>
  </si>
  <si>
    <t>155-ci gün</t>
  </si>
  <si>
    <t>Sütunların betonlanması</t>
  </si>
  <si>
    <t>150-ci gün</t>
  </si>
  <si>
    <t>165-ci gün</t>
  </si>
  <si>
    <t>Pərdə divarların armatur işləri</t>
  </si>
  <si>
    <t>190-cı gün</t>
  </si>
  <si>
    <t>66 gün</t>
  </si>
  <si>
    <t>Pərdə divarların qəlib işləri</t>
  </si>
  <si>
    <t>205-ci gün</t>
  </si>
  <si>
    <t>51 gün</t>
  </si>
  <si>
    <t>Pərdə divarların betonlanması</t>
  </si>
  <si>
    <t>185-ci gün</t>
  </si>
  <si>
    <t>220-ci gün</t>
  </si>
  <si>
    <t>Rigerlərin armatur və qəlib işləri</t>
  </si>
  <si>
    <t>200-cü gün</t>
  </si>
  <si>
    <t>235-ci gün</t>
  </si>
  <si>
    <t>Rigerlərin betonlanması</t>
  </si>
  <si>
    <t>225-ci gün</t>
  </si>
  <si>
    <t>245-ci gün</t>
  </si>
  <si>
    <t>Pilləkən işləri</t>
  </si>
  <si>
    <t>250-ci gün</t>
  </si>
  <si>
    <t>Örtük döşəmələrinin armatur və qəlib işləri</t>
  </si>
  <si>
    <t>215-ci gün</t>
  </si>
  <si>
    <t>260-cı gün</t>
  </si>
  <si>
    <t>46 gün</t>
  </si>
  <si>
    <t>Örtük döşəmələrinin betonlanması</t>
  </si>
  <si>
    <t>275-ci gün</t>
  </si>
  <si>
    <t>Metal konstruksiyaların quraşdırılması</t>
  </si>
  <si>
    <t>285-ci gün</t>
  </si>
  <si>
    <t>Sınaq, yoxlama və düzəlişlər</t>
  </si>
  <si>
    <t>295-ci gün</t>
  </si>
  <si>
    <t>As-built sənədlərinin hazırlanması</t>
  </si>
  <si>
    <t>300-cü gün</t>
  </si>
  <si>
    <t>Yekun təhvil və demobilizasiya</t>
  </si>
  <si>
    <t>6 gün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</si>
</sst>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00_р_._-;\-* #,##0.00_р_._-;_-* &quot;-&quot;??_р_._-;_-@_-"/>
    <numFmt numFmtId="166" formatCode="\Te\x\t"/>
    <numFmt numFmtId="167" formatCode="_(* #,##0_);_(* \(#,##0\);_(* &quot;-&quot;??_);_(@_)"/>
    <numFmt numFmtId="168" formatCode="[$-409]d\-mmm\-yy;@"/>
  </numFmts>
  <fonts count="59">
    <font>
      <sz val="11"/>
      <color theme="1"/>
      <name val="Calibri"/>
      <family val="2"/>
      <scheme val="minor"/>
    </font>
    <font>
      <sz val="11"/>
      <color theme="1"/>
      <name val="Calibri"/>
      <family val="2"/>
      <charset val="186"/>
      <scheme val="minor"/>
    </font>
    <font>
      <sz val="10"/>
      <name val="Arial"/>
      <family val="2"/>
      <charset val="204"/>
    </font>
    <font>
      <sz val="10"/>
      <name val="Arial"/>
      <family val="2"/>
    </font>
    <font>
      <sz val="11"/>
      <color theme="1"/>
      <name val="Calibri"/>
      <family val="2"/>
      <scheme val="minor"/>
    </font>
    <font>
      <sz val="10"/>
      <name val="MS Sans Serif"/>
      <family val="2"/>
    </font>
    <font>
      <sz val="11"/>
      <name val="Times New Roman"/>
      <family val="1"/>
      <charset val="204"/>
    </font>
    <font>
      <sz val="10"/>
      <name val="Times New Roman"/>
      <family val="1"/>
      <charset val="204"/>
    </font>
    <font>
      <sz val="10"/>
      <color theme="1"/>
      <name val="Times New Roman"/>
      <family val="1"/>
      <charset val="204"/>
    </font>
    <font>
      <sz val="11"/>
      <name val="ＭＳ Ｐゴシック"/>
      <family val="3"/>
      <charset val="128"/>
    </font>
    <font>
      <sz val="10"/>
      <name val="Times New Roman"/>
      <family val="1"/>
    </font>
    <font>
      <b/>
      <sz val="10"/>
      <color theme="1"/>
      <name val="Times New Roman"/>
      <family val="1"/>
      <charset val="204"/>
    </font>
    <font>
      <b/>
      <u/>
      <sz val="11"/>
      <name val="Times New Roman"/>
      <family val="1"/>
      <charset val="204"/>
    </font>
    <font>
      <b/>
      <sz val="11"/>
      <color theme="1"/>
      <name val="Times New Roman"/>
      <family val="1"/>
      <charset val="204"/>
    </font>
    <font>
      <sz val="11"/>
      <color theme="1"/>
      <name val="Times New Roman"/>
      <family val="1"/>
      <charset val="204"/>
    </font>
    <font>
      <b/>
      <sz val="11"/>
      <name val="Times New Roman"/>
      <family val="1"/>
      <charset val="204"/>
    </font>
    <font>
      <b/>
      <sz val="11"/>
      <color theme="1"/>
      <name val="Arial"/>
      <family val="2"/>
      <charset val="204"/>
    </font>
    <font>
      <b/>
      <sz val="11"/>
      <name val="Arial"/>
      <family val="2"/>
      <charset val="204"/>
    </font>
    <font>
      <sz val="11"/>
      <color theme="1"/>
      <name val="Arial"/>
      <family val="2"/>
    </font>
    <font>
      <sz val="11"/>
      <color theme="1"/>
      <name val="Times New Roman"/>
      <family val="1"/>
      <charset val="162"/>
    </font>
    <font>
      <sz val="11"/>
      <name val="Times New Roman"/>
      <family val="1"/>
      <charset val="162"/>
    </font>
    <font>
      <b/>
      <sz val="11"/>
      <color theme="1"/>
      <name val="Times New Roman"/>
      <family val="1"/>
      <charset val="162"/>
    </font>
    <font>
      <sz val="10"/>
      <name val="Arial Cyr"/>
      <charset val="204"/>
    </font>
    <font>
      <b/>
      <sz val="11"/>
      <name val="Times New Roman"/>
      <family val="1"/>
    </font>
    <font>
      <b/>
      <sz val="11"/>
      <color theme="1"/>
      <name val="Times New Roman"/>
      <family val="1"/>
    </font>
    <font>
      <i/>
      <sz val="11"/>
      <color rgb="FFFF0000"/>
      <name val="Times New Roman"/>
      <family val="1"/>
    </font>
    <font>
      <b/>
      <sz val="12"/>
      <color indexed="8"/>
      <name val="Times New Roman"/>
      <family val="1"/>
      <charset val="204"/>
    </font>
    <font>
      <i/>
      <sz val="10"/>
      <color theme="1"/>
      <name val="Times New Roman"/>
      <family val="1"/>
    </font>
    <font>
      <b/>
      <sz val="10"/>
      <color theme="1"/>
      <name val="Times New Roman"/>
      <family val="1"/>
    </font>
    <font>
      <b/>
      <i/>
      <sz val="11"/>
      <name val="Times New Roman"/>
      <family val="1"/>
    </font>
    <font>
      <b/>
      <i/>
      <sz val="11"/>
      <color rgb="FFFF0000"/>
      <name val="Times New Roman"/>
      <family val="1"/>
    </font>
    <font>
      <b/>
      <sz val="11.5"/>
      <color theme="1"/>
      <name val="Times New Roman"/>
      <family val="1"/>
      <charset val="204"/>
    </font>
    <font>
      <sz val="9"/>
      <color theme="1"/>
      <name val="Verdana"/>
      <family val="2"/>
    </font>
    <font>
      <b/>
      <sz val="14"/>
      <name val="Times New Roman"/>
      <family val="1"/>
    </font>
    <font>
      <sz val="10"/>
      <name val="Helv"/>
      <charset val="204"/>
    </font>
    <font>
      <sz val="14"/>
      <name val="Times New Roman"/>
      <family val="1"/>
    </font>
    <font>
      <b/>
      <sz val="12"/>
      <name val="Times New Roman"/>
      <family val="1"/>
    </font>
    <font>
      <sz val="8"/>
      <name val="Calibri"/>
      <family val="2"/>
      <scheme val="minor"/>
    </font>
    <font>
      <b/>
      <sz val="10"/>
      <color rgb="FFCC0099"/>
      <name val="Times New Roman"/>
      <family val="1"/>
      <charset val="204"/>
    </font>
    <font>
      <b/>
      <sz val="11"/>
      <color theme="1"/>
      <name val="Calibri"/>
      <family val="2"/>
      <scheme val="minor"/>
    </font>
    <font>
      <b/>
      <u/>
      <sz val="11"/>
      <color theme="1"/>
      <name val="Calibri"/>
      <family val="2"/>
      <scheme val="minor"/>
    </font>
    <font>
      <b/>
      <u/>
      <sz val="25"/>
      <color theme="1"/>
      <name val="Arial Narrow"/>
      <family val="2"/>
    </font>
    <font>
      <sz val="11"/>
      <color rgb="FF000000"/>
      <name val="Calibri"/>
      <family val="2"/>
      <charset val="1"/>
    </font>
    <font>
      <sz val="10"/>
      <name val="Arial Tur"/>
    </font>
    <font>
      <b/>
      <sz val="11"/>
      <color theme="0"/>
      <name val="Times New Roman"/>
      <family val="1"/>
      <charset val="204"/>
    </font>
    <font>
      <sz val="11"/>
      <color theme="1"/>
      <name val="Arial Narrow"/>
      <family val="2"/>
    </font>
    <font>
      <sz val="12"/>
      <color theme="1"/>
      <name val="Arial Narrow"/>
      <family val="2"/>
    </font>
    <font>
      <b/>
      <sz val="12"/>
      <color theme="0"/>
      <name val="Arial Narrow"/>
      <family val="2"/>
    </font>
    <font>
      <u/>
      <sz val="11"/>
      <color theme="10"/>
      <name val="Calibri"/>
      <family val="2"/>
      <scheme val="minor"/>
    </font>
    <font>
      <sz val="14"/>
      <color rgb="FFFF0000"/>
      <name val="Times New Roman"/>
      <family val="1"/>
    </font>
    <font>
      <sz val="11"/>
      <name val="Times New Roman"/>
      <family val="1"/>
      <charset val="1"/>
    </font>
    <font>
      <b/>
      <sz val="13.5"/>
      <color theme="1"/>
      <name val="Calibri"/>
      <family val="2"/>
      <scheme val="minor"/>
    </font>
    <font>
      <sz val="16"/>
      <color theme="1"/>
      <name val="Calibri"/>
      <family val="2"/>
      <scheme val="minor"/>
    </font>
    <font>
      <b/>
      <u/>
      <sz val="16"/>
      <color theme="1"/>
      <name val="Arial Narrow"/>
      <family val="2"/>
    </font>
    <font>
      <b/>
      <sz val="20"/>
      <color theme="1"/>
      <name val="Calibri"/>
      <family val="2"/>
      <scheme val="minor"/>
    </font>
    <font>
      <sz val="20"/>
      <color theme="1"/>
      <name val="Calibri"/>
      <family val="2"/>
      <scheme val="minor"/>
    </font>
    <font>
      <b/>
      <sz val="36"/>
      <color theme="1"/>
      <name val="Calibri"/>
      <family val="2"/>
      <scheme val="minor"/>
    </font>
    <font>
      <sz val="12"/>
      <color theme="1"/>
      <name val="Calibri"/>
      <family val="2"/>
      <scheme val="minor"/>
    </font>
    <font>
      <b/>
      <sz val="12"/>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66FF33"/>
        <bgColor indexed="64"/>
      </patternFill>
    </fill>
    <fill>
      <patternFill patternType="solid">
        <fgColor rgb="FFADAEB0"/>
        <bgColor indexed="64"/>
      </patternFill>
    </fill>
    <fill>
      <patternFill patternType="solid">
        <fgColor rgb="FF059D74"/>
        <bgColor indexed="64"/>
      </patternFill>
    </fill>
    <fill>
      <patternFill patternType="solid">
        <fgColor theme="1" tint="0.14996795556505021"/>
        <bgColor indexed="64"/>
      </patternFill>
    </fill>
    <fill>
      <patternFill patternType="solid">
        <fgColor theme="9" tint="0.79998168889431442"/>
        <bgColor indexed="64"/>
      </patternFill>
    </fill>
    <fill>
      <patternFill patternType="solid">
        <fgColor theme="8" tint="0.79998168889431442"/>
        <bgColor indexed="64"/>
      </patternFill>
    </fill>
  </fills>
  <borders count="9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double">
        <color indexed="64"/>
      </left>
      <right style="thin">
        <color indexed="64"/>
      </right>
      <top style="hair">
        <color indexed="64"/>
      </top>
      <bottom/>
      <diagonal/>
    </border>
    <border>
      <left style="thin">
        <color indexed="64"/>
      </left>
      <right style="double">
        <color indexed="64"/>
      </right>
      <top/>
      <bottom/>
      <diagonal/>
    </border>
    <border>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double">
        <color indexed="64"/>
      </right>
      <top style="hair">
        <color indexed="64"/>
      </top>
      <bottom style="hair">
        <color indexed="64"/>
      </bottom>
      <diagonal/>
    </border>
    <border>
      <left style="medium">
        <color indexed="64"/>
      </left>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thin">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style="double">
        <color indexed="64"/>
      </left>
      <right style="thin">
        <color indexed="64"/>
      </right>
      <top/>
      <bottom style="hair">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top/>
      <bottom style="hair">
        <color indexed="64"/>
      </bottom>
      <diagonal/>
    </border>
    <border>
      <left style="double">
        <color indexed="64"/>
      </left>
      <right/>
      <top style="hair">
        <color indexed="64"/>
      </top>
      <bottom style="hair">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hair">
        <color auto="1"/>
      </left>
      <right style="hair">
        <color auto="1"/>
      </right>
      <top style="hair">
        <color auto="1"/>
      </top>
      <bottom style="hair">
        <color auto="1"/>
      </bottom>
      <diagonal/>
    </border>
    <border>
      <left style="double">
        <color indexed="64"/>
      </left>
      <right style="hair">
        <color auto="1"/>
      </right>
      <top style="hair">
        <color auto="1"/>
      </top>
      <bottom style="hair">
        <color auto="1"/>
      </bottom>
      <diagonal/>
    </border>
    <border>
      <left style="hair">
        <color auto="1"/>
      </left>
      <right style="double">
        <color indexed="64"/>
      </right>
      <top style="hair">
        <color auto="1"/>
      </top>
      <bottom style="hair">
        <color auto="1"/>
      </bottom>
      <diagonal/>
    </border>
    <border>
      <left style="double">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double">
        <color indexed="64"/>
      </right>
      <top style="double">
        <color indexed="64"/>
      </top>
      <bottom style="hair">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double">
        <color indexed="64"/>
      </right>
      <top style="hair">
        <color indexed="64"/>
      </top>
      <bottom style="double">
        <color indexed="64"/>
      </bottom>
      <diagonal/>
    </border>
    <border>
      <left/>
      <right/>
      <top/>
      <bottom style="double">
        <color indexed="64"/>
      </bottom>
      <diagonal/>
    </border>
    <border>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right style="thin">
        <color indexed="64"/>
      </right>
      <top style="hair">
        <color indexed="64"/>
      </top>
      <bottom style="medium">
        <color indexed="64"/>
      </bottom>
      <diagonal/>
    </border>
    <border>
      <left/>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diagonal/>
    </border>
    <border>
      <left style="thin">
        <color auto="1"/>
      </left>
      <right style="thin">
        <color auto="1"/>
      </right>
      <top style="hair">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hair">
        <color indexed="64"/>
      </left>
      <right style="hair">
        <color auto="1"/>
      </right>
      <top style="double">
        <color indexed="64"/>
      </top>
      <bottom/>
      <diagonal/>
    </border>
    <border>
      <left style="hair">
        <color indexed="64"/>
      </left>
      <right style="hair">
        <color auto="1"/>
      </right>
      <top/>
      <bottom/>
      <diagonal/>
    </border>
    <border>
      <left style="hair">
        <color indexed="64"/>
      </left>
      <right style="hair">
        <color auto="1"/>
      </right>
      <top/>
      <bottom style="hair">
        <color auto="1"/>
      </bottom>
      <diagonal/>
    </border>
    <border>
      <left style="hair">
        <color indexed="64"/>
      </left>
      <right/>
      <top style="double">
        <color indexed="64"/>
      </top>
      <bottom style="hair">
        <color indexed="64"/>
      </bottom>
      <diagonal/>
    </border>
    <border>
      <left style="hair">
        <color auto="1"/>
      </left>
      <right/>
      <top style="hair">
        <color auto="1"/>
      </top>
      <bottom style="hair">
        <color auto="1"/>
      </bottom>
      <diagonal/>
    </border>
    <border>
      <left style="hair">
        <color auto="1"/>
      </left>
      <right style="double">
        <color indexed="64"/>
      </right>
      <top/>
      <bottom style="hair">
        <color auto="1"/>
      </bottom>
      <diagonal/>
    </border>
    <border>
      <left style="thin">
        <color auto="1"/>
      </left>
      <right style="thin">
        <color auto="1"/>
      </right>
      <top style="medium">
        <color auto="1"/>
      </top>
      <bottom/>
      <diagonal/>
    </border>
    <border>
      <left/>
      <right style="double">
        <color indexed="64"/>
      </right>
      <top/>
      <bottom/>
      <diagonal/>
    </border>
    <border>
      <left style="thin">
        <color indexed="64"/>
      </left>
      <right style="double">
        <color indexed="64"/>
      </right>
      <top style="hair">
        <color indexed="64"/>
      </top>
      <bottom style="double">
        <color indexed="64"/>
      </bottom>
      <diagonal/>
    </border>
    <border>
      <left style="thin">
        <color indexed="64"/>
      </left>
      <right style="double">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double">
        <color indexed="64"/>
      </left>
      <right/>
      <top/>
      <bottom/>
      <diagonal/>
    </border>
    <border>
      <left style="hair">
        <color auto="1"/>
      </left>
      <right/>
      <top style="hair">
        <color auto="1"/>
      </top>
      <bottom style="double">
        <color indexed="64"/>
      </bottom>
      <diagonal/>
    </border>
    <border>
      <left style="medium">
        <color indexed="64"/>
      </left>
      <right style="thin">
        <color auto="1"/>
      </right>
      <top style="hair">
        <color auto="1"/>
      </top>
      <bottom style="medium">
        <color indexed="64"/>
      </bottom>
      <diagonal/>
    </border>
  </borders>
  <cellStyleXfs count="21">
    <xf numFmtId="0" fontId="0" fillId="0" borderId="0"/>
    <xf numFmtId="0" fontId="2" fillId="0" borderId="0"/>
    <xf numFmtId="164" fontId="3" fillId="0" borderId="0" applyFont="0" applyFill="0" applyBorder="0" applyAlignment="0" applyProtection="0"/>
    <xf numFmtId="0" fontId="4" fillId="0" borderId="0"/>
    <xf numFmtId="164" fontId="4" fillId="0" borderId="0" applyFont="0" applyFill="0" applyBorder="0" applyAlignment="0" applyProtection="0"/>
    <xf numFmtId="0" fontId="5" fillId="0" borderId="0"/>
    <xf numFmtId="0" fontId="9" fillId="0" borderId="0"/>
    <xf numFmtId="0" fontId="9" fillId="0" borderId="0"/>
    <xf numFmtId="0" fontId="10" fillId="0" borderId="0"/>
    <xf numFmtId="0" fontId="9" fillId="0" borderId="0"/>
    <xf numFmtId="38" fontId="9" fillId="0" borderId="0" applyFont="0" applyFill="0" applyBorder="0" applyAlignment="0" applyProtection="0"/>
    <xf numFmtId="0" fontId="22" fillId="0" borderId="0"/>
    <xf numFmtId="0" fontId="32" fillId="0" borderId="0"/>
    <xf numFmtId="0" fontId="34" fillId="0" borderId="0"/>
    <xf numFmtId="0" fontId="42" fillId="0" borderId="0"/>
    <xf numFmtId="164" fontId="42" fillId="0" borderId="0" applyFont="0" applyFill="0" applyBorder="0" applyAlignment="0" applyProtection="0"/>
    <xf numFmtId="9" fontId="42" fillId="0" borderId="0" applyFont="0" applyFill="0" applyBorder="0" applyAlignment="0" applyProtection="0"/>
    <xf numFmtId="0" fontId="43" fillId="0" borderId="0"/>
    <xf numFmtId="0" fontId="22" fillId="0" borderId="0"/>
    <xf numFmtId="0" fontId="48" fillId="0" borderId="0" applyNumberFormat="0" applyFill="0" applyBorder="0" applyAlignment="0" applyProtection="0"/>
    <xf numFmtId="0" fontId="1" fillId="0" borderId="0"/>
  </cellStyleXfs>
  <cellXfs count="351">
    <xf numFmtId="0" fontId="0" fillId="0" borderId="0" xfId="0"/>
    <xf numFmtId="0" fontId="7" fillId="0" borderId="0" xfId="8" applyFont="1"/>
    <xf numFmtId="0" fontId="6" fillId="0" borderId="0" xfId="6" applyFont="1" applyAlignment="1">
      <alignment horizontal="left" vertical="center"/>
    </xf>
    <xf numFmtId="0" fontId="7" fillId="0" borderId="0" xfId="8" applyFont="1" applyAlignment="1">
      <alignment horizontal="left" vertical="center"/>
    </xf>
    <xf numFmtId="0" fontId="6" fillId="0" borderId="0" xfId="9" applyFont="1"/>
    <xf numFmtId="0" fontId="6" fillId="0" borderId="0" xfId="9" applyFont="1" applyAlignment="1">
      <alignment horizontal="left" vertical="center"/>
    </xf>
    <xf numFmtId="0" fontId="6" fillId="0" borderId="0" xfId="9" applyFont="1" applyAlignment="1">
      <alignment horizontal="center" vertical="center"/>
    </xf>
    <xf numFmtId="4" fontId="6" fillId="0" borderId="0" xfId="9" applyNumberFormat="1" applyFont="1" applyAlignment="1">
      <alignment horizontal="right"/>
    </xf>
    <xf numFmtId="4" fontId="6" fillId="0" borderId="0" xfId="9" applyNumberFormat="1" applyFont="1" applyAlignment="1">
      <alignment horizontal="right" indent="1"/>
    </xf>
    <xf numFmtId="0" fontId="12" fillId="0" borderId="0" xfId="6" applyFont="1"/>
    <xf numFmtId="4" fontId="6" fillId="0" borderId="0" xfId="6" applyNumberFormat="1" applyFont="1"/>
    <xf numFmtId="4" fontId="7" fillId="0" borderId="0" xfId="8" applyNumberFormat="1" applyFont="1"/>
    <xf numFmtId="4" fontId="6" fillId="0" borderId="0" xfId="6" applyNumberFormat="1" applyFont="1" applyAlignment="1">
      <alignment horizontal="left" vertical="center"/>
    </xf>
    <xf numFmtId="4" fontId="13" fillId="0" borderId="6" xfId="6" applyNumberFormat="1" applyFont="1" applyBorder="1" applyAlignment="1">
      <alignment horizontal="center" vertical="center" wrapText="1"/>
    </xf>
    <xf numFmtId="4" fontId="13" fillId="0" borderId="9" xfId="6" applyNumberFormat="1" applyFont="1" applyBorder="1" applyAlignment="1">
      <alignment horizontal="center" vertical="center" wrapText="1"/>
    </xf>
    <xf numFmtId="0" fontId="14" fillId="0" borderId="3" xfId="6" applyFont="1" applyBorder="1" applyAlignment="1">
      <alignment horizontal="center" vertical="center" wrapText="1"/>
    </xf>
    <xf numFmtId="0" fontId="14" fillId="0" borderId="1" xfId="6" applyFont="1" applyBorder="1" applyAlignment="1">
      <alignment horizontal="center" vertical="center" wrapText="1"/>
    </xf>
    <xf numFmtId="0" fontId="13" fillId="0" borderId="18" xfId="6" applyFont="1" applyBorder="1" applyAlignment="1">
      <alignment horizontal="center" vertical="center" wrapText="1"/>
    </xf>
    <xf numFmtId="0" fontId="13" fillId="0" borderId="0" xfId="6" applyFont="1" applyAlignment="1">
      <alignment horizontal="right" vertical="center" wrapText="1" indent="1"/>
    </xf>
    <xf numFmtId="0" fontId="13" fillId="0" borderId="0" xfId="6" applyFont="1" applyAlignment="1">
      <alignment horizontal="center" vertical="center" wrapText="1"/>
    </xf>
    <xf numFmtId="4" fontId="13" fillId="0" borderId="0" xfId="6" applyNumberFormat="1" applyFont="1" applyAlignment="1">
      <alignment horizontal="right" vertical="top" wrapText="1" indent="1"/>
    </xf>
    <xf numFmtId="0" fontId="14" fillId="0" borderId="0" xfId="6" applyFont="1" applyAlignment="1">
      <alignment vertical="top"/>
    </xf>
    <xf numFmtId="4" fontId="14" fillId="0" borderId="0" xfId="6" applyNumberFormat="1" applyFont="1" applyAlignment="1">
      <alignment vertical="top"/>
    </xf>
    <xf numFmtId="0" fontId="14" fillId="2" borderId="0" xfId="0" applyFont="1" applyFill="1"/>
    <xf numFmtId="0" fontId="6" fillId="2" borderId="0" xfId="0" applyFont="1" applyFill="1" applyAlignment="1">
      <alignment horizontal="center"/>
    </xf>
    <xf numFmtId="0" fontId="6" fillId="2" borderId="0" xfId="0" applyFont="1" applyFill="1" applyAlignment="1">
      <alignment horizontal="left"/>
    </xf>
    <xf numFmtId="164" fontId="15" fillId="0" borderId="0" xfId="4" applyFont="1" applyFill="1" applyBorder="1" applyAlignment="1">
      <alignment horizontal="center"/>
    </xf>
    <xf numFmtId="4" fontId="6" fillId="0" borderId="0" xfId="4" applyNumberFormat="1" applyFont="1" applyFill="1" applyBorder="1" applyAlignment="1">
      <alignment horizontal="center"/>
    </xf>
    <xf numFmtId="0" fontId="6" fillId="2" borderId="0" xfId="0" applyFont="1" applyFill="1" applyAlignment="1">
      <alignment horizontal="center" vertical="center"/>
    </xf>
    <xf numFmtId="1" fontId="20" fillId="2" borderId="0" xfId="0" applyNumberFormat="1" applyFont="1" applyFill="1" applyAlignment="1">
      <alignment horizontal="center" vertical="center"/>
    </xf>
    <xf numFmtId="0" fontId="6" fillId="0" borderId="0" xfId="6" applyFont="1"/>
    <xf numFmtId="0" fontId="14" fillId="0" borderId="30" xfId="6" applyFont="1" applyBorder="1" applyAlignment="1">
      <alignment horizontal="right" vertical="center" wrapText="1" indent="1"/>
    </xf>
    <xf numFmtId="0" fontId="14" fillId="0" borderId="31" xfId="6" applyFont="1" applyBorder="1" applyAlignment="1">
      <alignment horizontal="right" vertical="center" wrapText="1" indent="1"/>
    </xf>
    <xf numFmtId="0" fontId="13" fillId="0" borderId="32" xfId="6" applyFont="1" applyBorder="1" applyAlignment="1">
      <alignment horizontal="right" vertical="center" wrapText="1" indent="1"/>
    </xf>
    <xf numFmtId="2" fontId="25" fillId="0" borderId="0" xfId="6" applyNumberFormat="1" applyFont="1" applyAlignment="1">
      <alignment vertical="center"/>
    </xf>
    <xf numFmtId="0" fontId="25" fillId="0" borderId="0" xfId="6" applyFont="1" applyAlignment="1">
      <alignment vertical="center"/>
    </xf>
    <xf numFmtId="0" fontId="8" fillId="0" borderId="11" xfId="9" applyFont="1" applyBorder="1" applyAlignment="1">
      <alignment horizontal="left" vertical="center" wrapText="1"/>
    </xf>
    <xf numFmtId="0" fontId="8" fillId="0" borderId="11" xfId="7" applyFont="1" applyBorder="1" applyAlignment="1">
      <alignment horizontal="center" vertical="center" wrapText="1"/>
    </xf>
    <xf numFmtId="4" fontId="8" fillId="0" borderId="12" xfId="7" applyNumberFormat="1" applyFont="1" applyBorder="1" applyAlignment="1">
      <alignment horizontal="right" vertical="center" wrapText="1"/>
    </xf>
    <xf numFmtId="0" fontId="11" fillId="0" borderId="11" xfId="9" applyFont="1" applyBorder="1" applyAlignment="1">
      <alignment horizontal="left" vertical="center" wrapText="1"/>
    </xf>
    <xf numFmtId="0" fontId="8" fillId="0" borderId="11" xfId="7" applyFont="1" applyBorder="1" applyAlignment="1">
      <alignment horizontal="left" vertical="center" wrapText="1"/>
    </xf>
    <xf numFmtId="0" fontId="11" fillId="0" borderId="11" xfId="7" applyFont="1" applyBorder="1" applyAlignment="1">
      <alignment horizontal="left" vertical="center" wrapText="1"/>
    </xf>
    <xf numFmtId="0" fontId="8" fillId="2" borderId="11" xfId="7" applyFont="1" applyFill="1" applyBorder="1" applyAlignment="1">
      <alignment horizontal="left" vertical="center" wrapText="1"/>
    </xf>
    <xf numFmtId="0" fontId="11" fillId="2" borderId="11" xfId="7" applyFont="1" applyFill="1" applyBorder="1" applyAlignment="1">
      <alignment horizontal="left" vertical="center" wrapText="1"/>
    </xf>
    <xf numFmtId="0" fontId="8" fillId="2" borderId="13" xfId="7" applyFont="1" applyFill="1" applyBorder="1" applyAlignment="1">
      <alignment horizontal="left" vertical="center" wrapText="1"/>
    </xf>
    <xf numFmtId="0" fontId="8" fillId="0" borderId="13" xfId="7" applyFont="1" applyBorder="1" applyAlignment="1">
      <alignment horizontal="center" vertical="center" wrapText="1"/>
    </xf>
    <xf numFmtId="4" fontId="8" fillId="0" borderId="14" xfId="7" applyNumberFormat="1" applyFont="1" applyBorder="1" applyAlignment="1">
      <alignment horizontal="right" vertical="center" wrapText="1"/>
    </xf>
    <xf numFmtId="0" fontId="8" fillId="0" borderId="13" xfId="7" applyFont="1" applyBorder="1" applyAlignment="1">
      <alignment horizontal="left" vertical="center" wrapText="1"/>
    </xf>
    <xf numFmtId="0" fontId="8" fillId="2" borderId="11" xfId="9" applyFont="1" applyFill="1" applyBorder="1" applyAlignment="1">
      <alignment horizontal="left" vertical="center" wrapText="1"/>
    </xf>
    <xf numFmtId="4" fontId="11" fillId="3" borderId="10" xfId="7" applyNumberFormat="1" applyFont="1" applyFill="1" applyBorder="1" applyAlignment="1">
      <alignment horizontal="center" vertical="center" wrapText="1"/>
    </xf>
    <xf numFmtId="0" fontId="8" fillId="0" borderId="24" xfId="7" applyFont="1" applyBorder="1" applyAlignment="1">
      <alignment horizontal="center" vertical="center" wrapText="1"/>
    </xf>
    <xf numFmtId="4" fontId="8" fillId="0" borderId="33" xfId="7" applyNumberFormat="1" applyFont="1" applyBorder="1" applyAlignment="1">
      <alignment horizontal="right" vertical="center" wrapText="1"/>
    </xf>
    <xf numFmtId="4" fontId="11" fillId="3" borderId="27" xfId="7" applyNumberFormat="1" applyFont="1" applyFill="1" applyBorder="1" applyAlignment="1">
      <alignment horizontal="center" vertical="center" wrapText="1"/>
    </xf>
    <xf numFmtId="0" fontId="11" fillId="0" borderId="43" xfId="7" applyFont="1" applyBorder="1" applyAlignment="1">
      <alignment horizontal="center" vertical="center" wrapText="1"/>
    </xf>
    <xf numFmtId="4" fontId="8" fillId="0" borderId="25" xfId="7" applyNumberFormat="1" applyFont="1" applyBorder="1" applyAlignment="1">
      <alignment horizontal="right" vertical="center" wrapText="1" indent="1"/>
    </xf>
    <xf numFmtId="0" fontId="11" fillId="0" borderId="44" xfId="7" applyFont="1" applyBorder="1" applyAlignment="1">
      <alignment horizontal="center" vertical="center" wrapText="1"/>
    </xf>
    <xf numFmtId="4" fontId="8" fillId="0" borderId="21" xfId="7" applyNumberFormat="1" applyFont="1" applyBorder="1" applyAlignment="1">
      <alignment horizontal="right" vertical="center" wrapText="1" indent="1"/>
    </xf>
    <xf numFmtId="0" fontId="8" fillId="0" borderId="44" xfId="7" applyFont="1" applyBorder="1" applyAlignment="1">
      <alignment horizontal="center" vertical="center" wrapText="1"/>
    </xf>
    <xf numFmtId="0" fontId="8" fillId="0" borderId="14" xfId="7" applyFont="1" applyBorder="1" applyAlignment="1">
      <alignment horizontal="center" vertical="center" wrapText="1"/>
    </xf>
    <xf numFmtId="0" fontId="28" fillId="0" borderId="24" xfId="9" applyFont="1" applyBorder="1" applyAlignment="1">
      <alignment horizontal="left" vertical="center" wrapText="1"/>
    </xf>
    <xf numFmtId="2" fontId="8" fillId="0" borderId="44" xfId="7" applyNumberFormat="1" applyFont="1" applyBorder="1" applyAlignment="1">
      <alignment horizontal="center" vertical="center" wrapText="1"/>
    </xf>
    <xf numFmtId="4" fontId="8" fillId="0" borderId="14" xfId="7" applyNumberFormat="1" applyFont="1" applyBorder="1" applyAlignment="1">
      <alignment horizontal="center" vertical="center" wrapText="1"/>
    </xf>
    <xf numFmtId="4" fontId="8" fillId="0" borderId="21" xfId="7" applyNumberFormat="1" applyFont="1" applyBorder="1" applyAlignment="1">
      <alignment horizontal="center" vertical="center" wrapText="1"/>
    </xf>
    <xf numFmtId="9" fontId="14" fillId="4" borderId="26" xfId="6" applyNumberFormat="1" applyFont="1" applyFill="1" applyBorder="1" applyAlignment="1">
      <alignment horizontal="center" wrapText="1"/>
    </xf>
    <xf numFmtId="0" fontId="24" fillId="0" borderId="22" xfId="6" applyFont="1" applyBorder="1" applyAlignment="1">
      <alignment horizontal="right" wrapText="1"/>
    </xf>
    <xf numFmtId="0" fontId="11" fillId="0" borderId="24" xfId="9" applyFont="1" applyBorder="1" applyAlignment="1">
      <alignment horizontal="left" vertical="center" wrapText="1"/>
    </xf>
    <xf numFmtId="0" fontId="33" fillId="5" borderId="52" xfId="13" applyFont="1" applyFill="1" applyBorder="1" applyAlignment="1">
      <alignment horizontal="left" vertical="top" wrapText="1"/>
    </xf>
    <xf numFmtId="0" fontId="33" fillId="5" borderId="52" xfId="12" applyFont="1" applyFill="1" applyBorder="1" applyAlignment="1">
      <alignment vertical="center"/>
    </xf>
    <xf numFmtId="4" fontId="33" fillId="5" borderId="52" xfId="13" applyNumberFormat="1" applyFont="1" applyFill="1" applyBorder="1" applyAlignment="1">
      <alignment horizontal="center" vertical="center" wrapText="1"/>
    </xf>
    <xf numFmtId="1" fontId="35" fillId="0" borderId="52" xfId="12" applyNumberFormat="1" applyFont="1" applyBorder="1" applyAlignment="1">
      <alignment horizontal="center" vertical="center"/>
    </xf>
    <xf numFmtId="1" fontId="35" fillId="0" borderId="52" xfId="12" quotePrefix="1" applyNumberFormat="1" applyFont="1" applyBorder="1" applyAlignment="1">
      <alignment horizontal="center" vertical="center"/>
    </xf>
    <xf numFmtId="166" fontId="35" fillId="0" borderId="52" xfId="12" applyNumberFormat="1" applyFont="1" applyBorder="1" applyAlignment="1">
      <alignment horizontal="left" vertical="center" wrapText="1" indent="1"/>
    </xf>
    <xf numFmtId="166" fontId="35" fillId="0" borderId="52" xfId="12" applyNumberFormat="1" applyFont="1" applyBorder="1" applyAlignment="1">
      <alignment horizontal="center" vertical="center"/>
    </xf>
    <xf numFmtId="2" fontId="35" fillId="0" borderId="52" xfId="12" applyNumberFormat="1" applyFont="1" applyBorder="1" applyAlignment="1">
      <alignment horizontal="center" vertical="center"/>
    </xf>
    <xf numFmtId="1" fontId="35" fillId="0" borderId="53" xfId="12" applyNumberFormat="1" applyFont="1" applyBorder="1" applyAlignment="1">
      <alignment horizontal="center" vertical="center"/>
    </xf>
    <xf numFmtId="165" fontId="35" fillId="0" borderId="54" xfId="12" quotePrefix="1" applyNumberFormat="1" applyFont="1" applyBorder="1" applyAlignment="1">
      <alignment horizontal="center" vertical="center"/>
    </xf>
    <xf numFmtId="0" fontId="19" fillId="0" borderId="52" xfId="7" applyFont="1" applyBorder="1" applyAlignment="1">
      <alignment horizontal="left" vertical="center" wrapText="1"/>
    </xf>
    <xf numFmtId="0" fontId="17" fillId="0" borderId="52" xfId="7" applyFont="1" applyBorder="1" applyAlignment="1">
      <alignment horizontal="center" vertical="center" wrapText="1"/>
    </xf>
    <xf numFmtId="1" fontId="20" fillId="2" borderId="52" xfId="0" applyNumberFormat="1" applyFont="1" applyFill="1" applyBorder="1" applyAlignment="1">
      <alignment horizontal="center" vertical="center"/>
    </xf>
    <xf numFmtId="4" fontId="16" fillId="0" borderId="52" xfId="7" applyNumberFormat="1" applyFont="1" applyBorder="1" applyAlignment="1">
      <alignment horizontal="center" vertical="center" wrapText="1"/>
    </xf>
    <xf numFmtId="4" fontId="16" fillId="0" borderId="54" xfId="7" applyNumberFormat="1" applyFont="1" applyBorder="1" applyAlignment="1">
      <alignment horizontal="center" vertical="center" wrapText="1"/>
    </xf>
    <xf numFmtId="165" fontId="33" fillId="5" borderId="52" xfId="12" applyNumberFormat="1" applyFont="1" applyFill="1" applyBorder="1" applyAlignment="1">
      <alignment vertical="center"/>
    </xf>
    <xf numFmtId="0" fontId="33" fillId="4" borderId="53" xfId="13" applyFont="1" applyFill="1" applyBorder="1" applyAlignment="1">
      <alignment horizontal="center" vertical="center" wrapText="1"/>
    </xf>
    <xf numFmtId="0" fontId="33" fillId="4" borderId="52" xfId="13" applyFont="1" applyFill="1" applyBorder="1" applyAlignment="1">
      <alignment horizontal="center" vertical="center" wrapText="1"/>
    </xf>
    <xf numFmtId="49" fontId="33" fillId="4" borderId="52" xfId="13" applyNumberFormat="1" applyFont="1" applyFill="1" applyBorder="1" applyAlignment="1">
      <alignment vertical="center" wrapText="1"/>
    </xf>
    <xf numFmtId="0" fontId="33" fillId="4" borderId="52" xfId="12" applyFont="1" applyFill="1" applyBorder="1" applyAlignment="1">
      <alignment vertical="center"/>
    </xf>
    <xf numFmtId="4" fontId="33" fillId="4" borderId="52" xfId="13" applyNumberFormat="1" applyFont="1" applyFill="1" applyBorder="1" applyAlignment="1">
      <alignment horizontal="center" vertical="center" wrapText="1"/>
    </xf>
    <xf numFmtId="165" fontId="33" fillId="5" borderId="54" xfId="12" applyNumberFormat="1" applyFont="1" applyFill="1" applyBorder="1" applyAlignment="1">
      <alignment horizontal="center" vertical="center"/>
    </xf>
    <xf numFmtId="0" fontId="33" fillId="6" borderId="52" xfId="13" applyFont="1" applyFill="1" applyBorder="1" applyAlignment="1">
      <alignment horizontal="left" vertical="top" wrapText="1"/>
    </xf>
    <xf numFmtId="0" fontId="33" fillId="6" borderId="52" xfId="12" applyFont="1" applyFill="1" applyBorder="1" applyAlignment="1">
      <alignment vertical="center"/>
    </xf>
    <xf numFmtId="4" fontId="33" fillId="6" borderId="52" xfId="13" applyNumberFormat="1" applyFont="1" applyFill="1" applyBorder="1" applyAlignment="1">
      <alignment horizontal="center" vertical="center" wrapText="1"/>
    </xf>
    <xf numFmtId="165" fontId="33" fillId="6" borderId="54" xfId="12" applyNumberFormat="1" applyFont="1" applyFill="1" applyBorder="1" applyAlignment="1">
      <alignment horizontal="center" vertical="center"/>
    </xf>
    <xf numFmtId="1" fontId="33" fillId="6" borderId="53" xfId="12" quotePrefix="1" applyNumberFormat="1" applyFont="1" applyFill="1" applyBorder="1" applyAlignment="1">
      <alignment horizontal="center" vertical="center"/>
    </xf>
    <xf numFmtId="1" fontId="33" fillId="6" borderId="52" xfId="12" quotePrefix="1" applyNumberFormat="1" applyFont="1" applyFill="1" applyBorder="1" applyAlignment="1">
      <alignment horizontal="center" vertical="center"/>
    </xf>
    <xf numFmtId="4" fontId="16" fillId="3" borderId="52" xfId="7" applyNumberFormat="1" applyFont="1" applyFill="1" applyBorder="1" applyAlignment="1">
      <alignment horizontal="center" vertical="center" wrapText="1"/>
    </xf>
    <xf numFmtId="4" fontId="16" fillId="3" borderId="54" xfId="7" applyNumberFormat="1" applyFont="1" applyFill="1" applyBorder="1" applyAlignment="1">
      <alignment horizontal="center" vertical="center" wrapText="1"/>
    </xf>
    <xf numFmtId="1" fontId="35" fillId="0" borderId="60" xfId="12" applyNumberFormat="1" applyFont="1" applyBorder="1" applyAlignment="1">
      <alignment horizontal="center" vertical="center"/>
    </xf>
    <xf numFmtId="1" fontId="35" fillId="0" borderId="61" xfId="12" applyNumberFormat="1" applyFont="1" applyBorder="1" applyAlignment="1">
      <alignment horizontal="center" vertical="center"/>
    </xf>
    <xf numFmtId="1" fontId="35" fillId="0" borderId="61" xfId="12" quotePrefix="1" applyNumberFormat="1" applyFont="1" applyBorder="1" applyAlignment="1">
      <alignment horizontal="center" vertical="center"/>
    </xf>
    <xf numFmtId="166" fontId="35" fillId="0" borderId="61" xfId="12" applyNumberFormat="1" applyFont="1" applyBorder="1" applyAlignment="1">
      <alignment horizontal="center" vertical="center"/>
    </xf>
    <xf numFmtId="2" fontId="35" fillId="0" borderId="61" xfId="12" applyNumberFormat="1" applyFont="1" applyBorder="1" applyAlignment="1">
      <alignment horizontal="center" vertical="center"/>
    </xf>
    <xf numFmtId="4" fontId="38" fillId="0" borderId="64" xfId="7" applyNumberFormat="1" applyFont="1" applyBorder="1" applyAlignment="1">
      <alignment horizontal="center" vertical="center" wrapText="1"/>
    </xf>
    <xf numFmtId="4" fontId="8" fillId="0" borderId="64" xfId="7" applyNumberFormat="1" applyFont="1" applyBorder="1" applyAlignment="1">
      <alignment horizontal="center" vertical="center" wrapText="1"/>
    </xf>
    <xf numFmtId="4" fontId="8" fillId="0" borderId="67" xfId="7" applyNumberFormat="1" applyFont="1" applyBorder="1" applyAlignment="1">
      <alignment horizontal="center" vertical="center" wrapText="1"/>
    </xf>
    <xf numFmtId="4" fontId="24" fillId="7" borderId="47" xfId="0" applyNumberFormat="1" applyFont="1" applyFill="1" applyBorder="1" applyAlignment="1">
      <alignment horizontal="right" vertical="center" indent="1"/>
    </xf>
    <xf numFmtId="164" fontId="14" fillId="0" borderId="7" xfId="4" applyFont="1" applyBorder="1" applyAlignment="1">
      <alignment horizontal="right" vertical="center" wrapText="1" indent="1"/>
    </xf>
    <xf numFmtId="164" fontId="14" fillId="0" borderId="8" xfId="4" applyFont="1" applyBorder="1" applyAlignment="1">
      <alignment horizontal="right" vertical="center" wrapText="1" indent="1"/>
    </xf>
    <xf numFmtId="164" fontId="14" fillId="0" borderId="7" xfId="4" applyFont="1" applyBorder="1" applyAlignment="1">
      <alignment horizontal="right" vertical="top" wrapText="1" indent="1"/>
    </xf>
    <xf numFmtId="164" fontId="14" fillId="0" borderId="17" xfId="4" applyFont="1" applyBorder="1" applyAlignment="1">
      <alignment horizontal="right" vertical="top" wrapText="1" indent="1"/>
    </xf>
    <xf numFmtId="164" fontId="13" fillId="0" borderId="19" xfId="4" applyFont="1" applyBorder="1" applyAlignment="1">
      <alignment horizontal="right" vertical="top" wrapText="1" indent="1"/>
    </xf>
    <xf numFmtId="0" fontId="17" fillId="0" borderId="52" xfId="7" applyFont="1" applyBorder="1" applyAlignment="1">
      <alignment horizontal="center" vertical="center"/>
    </xf>
    <xf numFmtId="4" fontId="16" fillId="0" borderId="52" xfId="7" applyNumberFormat="1" applyFont="1" applyBorder="1" applyAlignment="1">
      <alignment horizontal="center" vertical="center"/>
    </xf>
    <xf numFmtId="4" fontId="16" fillId="0" borderId="54" xfId="7" applyNumberFormat="1" applyFont="1" applyBorder="1" applyAlignment="1">
      <alignment horizontal="center" vertical="center"/>
    </xf>
    <xf numFmtId="4" fontId="33" fillId="5" borderId="52" xfId="13" applyNumberFormat="1" applyFont="1" applyFill="1" applyBorder="1" applyAlignment="1">
      <alignment horizontal="center" vertical="center"/>
    </xf>
    <xf numFmtId="0" fontId="33" fillId="6" borderId="52" xfId="13" applyFont="1" applyFill="1" applyBorder="1" applyAlignment="1">
      <alignment horizontal="left" vertical="top"/>
    </xf>
    <xf numFmtId="4" fontId="33" fillId="6" borderId="52" xfId="13" applyNumberFormat="1" applyFont="1" applyFill="1" applyBorder="1" applyAlignment="1">
      <alignment horizontal="center" vertical="center"/>
    </xf>
    <xf numFmtId="0" fontId="33" fillId="4" borderId="53" xfId="13" applyFont="1" applyFill="1" applyBorder="1" applyAlignment="1">
      <alignment horizontal="center" vertical="center"/>
    </xf>
    <xf numFmtId="0" fontId="33" fillId="4" borderId="52" xfId="13" applyFont="1" applyFill="1" applyBorder="1" applyAlignment="1">
      <alignment horizontal="center" vertical="center"/>
    </xf>
    <xf numFmtId="49" fontId="33" fillId="4" borderId="52" xfId="13" applyNumberFormat="1" applyFont="1" applyFill="1" applyBorder="1" applyAlignment="1">
      <alignment vertical="center"/>
    </xf>
    <xf numFmtId="4" fontId="33" fillId="4" borderId="52" xfId="13" applyNumberFormat="1" applyFont="1" applyFill="1" applyBorder="1" applyAlignment="1">
      <alignment horizontal="center" vertical="center"/>
    </xf>
    <xf numFmtId="164" fontId="33" fillId="6" borderId="52" xfId="4" applyFont="1" applyFill="1" applyBorder="1" applyAlignment="1">
      <alignment vertical="center"/>
    </xf>
    <xf numFmtId="164" fontId="35" fillId="0" borderId="52" xfId="4" applyFont="1" applyBorder="1" applyAlignment="1">
      <alignment horizontal="center" vertical="center"/>
    </xf>
    <xf numFmtId="167" fontId="33" fillId="5" borderId="52" xfId="4" applyNumberFormat="1" applyFont="1" applyFill="1" applyBorder="1" applyAlignment="1">
      <alignment vertical="center"/>
    </xf>
    <xf numFmtId="167" fontId="33" fillId="6" borderId="54" xfId="4" applyNumberFormat="1" applyFont="1" applyFill="1" applyBorder="1" applyAlignment="1">
      <alignment horizontal="center" vertical="center"/>
    </xf>
    <xf numFmtId="167" fontId="33" fillId="6" borderId="52" xfId="4" applyNumberFormat="1" applyFont="1" applyFill="1" applyBorder="1" applyAlignment="1">
      <alignment vertical="center"/>
    </xf>
    <xf numFmtId="167" fontId="33" fillId="4" borderId="54" xfId="4" applyNumberFormat="1" applyFont="1" applyFill="1" applyBorder="1" applyAlignment="1">
      <alignment horizontal="center" vertical="center"/>
    </xf>
    <xf numFmtId="167" fontId="33" fillId="4" borderId="52" xfId="4" applyNumberFormat="1" applyFont="1" applyFill="1" applyBorder="1" applyAlignment="1">
      <alignment vertical="center"/>
    </xf>
    <xf numFmtId="167" fontId="35" fillId="0" borderId="54" xfId="4" quotePrefix="1" applyNumberFormat="1" applyFont="1" applyBorder="1" applyAlignment="1">
      <alignment horizontal="center" vertical="center"/>
    </xf>
    <xf numFmtId="167" fontId="35" fillId="0" borderId="52" xfId="4" applyNumberFormat="1" applyFont="1" applyBorder="1" applyAlignment="1">
      <alignment horizontal="center" vertical="center"/>
    </xf>
    <xf numFmtId="164" fontId="6" fillId="0" borderId="0" xfId="6" applyNumberFormat="1" applyFont="1" applyAlignment="1">
      <alignment horizontal="left" vertical="center"/>
    </xf>
    <xf numFmtId="164" fontId="6" fillId="0" borderId="0" xfId="6" applyNumberFormat="1" applyFont="1"/>
    <xf numFmtId="0" fontId="40" fillId="0" borderId="0" xfId="0" applyFont="1"/>
    <xf numFmtId="0" fontId="41" fillId="0" borderId="0" xfId="0" applyFont="1"/>
    <xf numFmtId="0" fontId="0" fillId="0" borderId="68" xfId="0" applyBorder="1"/>
    <xf numFmtId="0" fontId="15" fillId="8" borderId="69" xfId="18" quotePrefix="1" applyFont="1" applyFill="1" applyBorder="1" applyAlignment="1">
      <alignment horizontal="center" vertical="center"/>
    </xf>
    <xf numFmtId="0" fontId="15" fillId="8" borderId="26" xfId="18" applyFont="1" applyFill="1" applyBorder="1" applyAlignment="1">
      <alignment horizontal="left" vertical="center"/>
    </xf>
    <xf numFmtId="0" fontId="15" fillId="8" borderId="26" xfId="18" applyFont="1" applyFill="1" applyBorder="1" applyAlignment="1">
      <alignment horizontal="center" vertical="center"/>
    </xf>
    <xf numFmtId="0" fontId="13" fillId="0" borderId="0" xfId="3" applyFont="1" applyAlignment="1">
      <alignment horizontal="left"/>
    </xf>
    <xf numFmtId="16" fontId="14" fillId="2" borderId="70" xfId="3" quotePrefix="1" applyNumberFormat="1" applyFont="1" applyFill="1" applyBorder="1" applyAlignment="1">
      <alignment horizontal="center" vertical="center"/>
    </xf>
    <xf numFmtId="0" fontId="6" fillId="2" borderId="24" xfId="3" applyFont="1" applyFill="1" applyBorder="1" applyAlignment="1">
      <alignment horizontal="center" vertical="center"/>
    </xf>
    <xf numFmtId="16" fontId="14" fillId="2" borderId="72" xfId="3" quotePrefix="1" applyNumberFormat="1" applyFont="1" applyFill="1" applyBorder="1" applyAlignment="1">
      <alignment horizontal="center" vertical="center"/>
    </xf>
    <xf numFmtId="0" fontId="6" fillId="2" borderId="11" xfId="3" applyFont="1" applyFill="1" applyBorder="1" applyAlignment="1">
      <alignment horizontal="center" vertical="center"/>
    </xf>
    <xf numFmtId="0" fontId="6" fillId="2" borderId="13" xfId="3" applyFont="1" applyFill="1" applyBorder="1" applyAlignment="1">
      <alignment horizontal="center" vertical="center"/>
    </xf>
    <xf numFmtId="0" fontId="14" fillId="2" borderId="72" xfId="3" quotePrefix="1" applyFont="1" applyFill="1" applyBorder="1" applyAlignment="1">
      <alignment horizontal="center" vertical="center"/>
    </xf>
    <xf numFmtId="0" fontId="14" fillId="2" borderId="70" xfId="3" quotePrefix="1" applyFont="1" applyFill="1" applyBorder="1" applyAlignment="1">
      <alignment horizontal="center" vertical="center"/>
    </xf>
    <xf numFmtId="0" fontId="6" fillId="2" borderId="2" xfId="3" applyFont="1" applyFill="1" applyBorder="1" applyAlignment="1">
      <alignment horizontal="center" vertical="center"/>
    </xf>
    <xf numFmtId="0" fontId="6" fillId="2" borderId="74" xfId="3" applyFont="1" applyFill="1" applyBorder="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46" fillId="0" borderId="26" xfId="0" applyFont="1" applyBorder="1" applyAlignment="1">
      <alignment horizontal="left" vertical="center" indent="1"/>
    </xf>
    <xf numFmtId="0" fontId="46" fillId="0" borderId="26" xfId="0" applyFont="1" applyBorder="1" applyAlignment="1">
      <alignment horizontal="center" vertical="center"/>
    </xf>
    <xf numFmtId="0" fontId="47" fillId="10" borderId="26" xfId="0" applyFont="1" applyFill="1" applyBorder="1" applyAlignment="1">
      <alignment horizontal="center" vertical="center"/>
    </xf>
    <xf numFmtId="168" fontId="46" fillId="0" borderId="26" xfId="0" applyNumberFormat="1" applyFont="1" applyBorder="1" applyAlignment="1">
      <alignment horizontal="center" vertical="center"/>
    </xf>
    <xf numFmtId="166" fontId="35" fillId="0" borderId="52" xfId="12" applyNumberFormat="1" applyFont="1" applyBorder="1" applyAlignment="1">
      <alignment horizontal="left" vertical="center" wrapText="1"/>
    </xf>
    <xf numFmtId="4" fontId="16" fillId="3" borderId="81" xfId="7" applyNumberFormat="1" applyFont="1" applyFill="1" applyBorder="1" applyAlignment="1">
      <alignment horizontal="center" vertical="center" wrapText="1"/>
    </xf>
    <xf numFmtId="4" fontId="16" fillId="0" borderId="81" xfId="7" applyNumberFormat="1" applyFont="1" applyBorder="1" applyAlignment="1">
      <alignment horizontal="center" vertical="center"/>
    </xf>
    <xf numFmtId="167" fontId="33" fillId="5" borderId="81" xfId="4" applyNumberFormat="1" applyFont="1" applyFill="1" applyBorder="1" applyAlignment="1">
      <alignment horizontal="center" vertical="center"/>
    </xf>
    <xf numFmtId="167" fontId="35" fillId="0" borderId="81" xfId="4" quotePrefix="1" applyNumberFormat="1" applyFont="1" applyBorder="1" applyAlignment="1">
      <alignment horizontal="center" vertical="center"/>
    </xf>
    <xf numFmtId="0" fontId="14" fillId="2" borderId="63" xfId="0" applyFont="1" applyFill="1" applyBorder="1"/>
    <xf numFmtId="0" fontId="1" fillId="0" borderId="0" xfId="20"/>
    <xf numFmtId="0" fontId="15" fillId="8" borderId="8" xfId="18" applyFont="1" applyFill="1" applyBorder="1" applyAlignment="1">
      <alignment horizontal="left" vertical="center" wrapText="1"/>
    </xf>
    <xf numFmtId="0" fontId="6" fillId="2" borderId="71" xfId="3" applyFont="1" applyFill="1" applyBorder="1" applyAlignment="1">
      <alignment horizontal="left" vertical="center" wrapText="1"/>
    </xf>
    <xf numFmtId="0" fontId="6" fillId="2" borderId="65" xfId="3" applyFont="1" applyFill="1" applyBorder="1" applyAlignment="1">
      <alignment horizontal="left" vertical="center" wrapText="1"/>
    </xf>
    <xf numFmtId="0" fontId="6" fillId="2" borderId="73" xfId="3" applyFont="1" applyFill="1" applyBorder="1" applyAlignment="1">
      <alignment horizontal="left" vertical="center" wrapText="1"/>
    </xf>
    <xf numFmtId="4" fontId="6" fillId="2" borderId="65" xfId="3" applyNumberFormat="1" applyFont="1" applyFill="1" applyBorder="1" applyAlignment="1">
      <alignment horizontal="left" vertical="center" wrapText="1"/>
    </xf>
    <xf numFmtId="0" fontId="6" fillId="0" borderId="65" xfId="3" applyFont="1" applyBorder="1" applyAlignment="1">
      <alignment horizontal="left" vertical="center" wrapText="1"/>
    </xf>
    <xf numFmtId="0" fontId="6" fillId="0" borderId="73" xfId="3" applyFont="1" applyBorder="1" applyAlignment="1">
      <alignment horizontal="left" vertical="center" wrapText="1"/>
    </xf>
    <xf numFmtId="0" fontId="14" fillId="2" borderId="65" xfId="3" applyFont="1" applyFill="1" applyBorder="1" applyAlignment="1">
      <alignment horizontal="left" vertical="center" wrapText="1"/>
    </xf>
    <xf numFmtId="0" fontId="6" fillId="2" borderId="66" xfId="3" applyFont="1" applyFill="1" applyBorder="1" applyAlignment="1">
      <alignment horizontal="center" vertical="center" wrapText="1"/>
    </xf>
    <xf numFmtId="0" fontId="14" fillId="2" borderId="84" xfId="0" applyFont="1" applyFill="1" applyBorder="1"/>
    <xf numFmtId="4" fontId="8" fillId="0" borderId="64" xfId="7" applyNumberFormat="1" applyFont="1" applyBorder="1" applyAlignment="1">
      <alignment horizontal="right" vertical="center" wrapText="1"/>
    </xf>
    <xf numFmtId="49" fontId="8" fillId="0" borderId="64" xfId="7" applyNumberFormat="1" applyFont="1" applyBorder="1" applyAlignment="1">
      <alignment horizontal="right" vertical="center" wrapText="1"/>
    </xf>
    <xf numFmtId="0" fontId="8" fillId="0" borderId="21" xfId="7" applyFont="1" applyBorder="1" applyAlignment="1">
      <alignment horizontal="center" vertical="center" wrapText="1"/>
    </xf>
    <xf numFmtId="0" fontId="38" fillId="0" borderId="21" xfId="7" applyFont="1" applyBorder="1" applyAlignment="1">
      <alignment horizontal="center" vertical="center" wrapText="1"/>
    </xf>
    <xf numFmtId="0" fontId="8" fillId="0" borderId="85" xfId="7" applyFont="1" applyBorder="1" applyAlignment="1">
      <alignment horizontal="center" vertical="center" wrapText="1"/>
    </xf>
    <xf numFmtId="4" fontId="8" fillId="0" borderId="86" xfId="7" applyNumberFormat="1" applyFont="1" applyBorder="1" applyAlignment="1">
      <alignment horizontal="right" vertical="center" wrapText="1" indent="1"/>
    </xf>
    <xf numFmtId="49" fontId="8" fillId="0" borderId="44" xfId="7" applyNumberFormat="1" applyFont="1" applyBorder="1" applyAlignment="1">
      <alignment horizontal="center" vertical="center" wrapText="1"/>
    </xf>
    <xf numFmtId="0" fontId="14" fillId="2" borderId="71" xfId="3" applyFont="1" applyFill="1" applyBorder="1" applyAlignment="1">
      <alignment vertical="center" wrapText="1"/>
    </xf>
    <xf numFmtId="0" fontId="14" fillId="2" borderId="65" xfId="3" applyFont="1" applyFill="1" applyBorder="1" applyAlignment="1">
      <alignment vertical="center" wrapText="1"/>
    </xf>
    <xf numFmtId="0" fontId="14" fillId="2" borderId="73" xfId="3" applyFont="1" applyFill="1" applyBorder="1" applyAlignment="1">
      <alignment vertical="center" wrapText="1"/>
    </xf>
    <xf numFmtId="0" fontId="14" fillId="2" borderId="24" xfId="3" applyFont="1" applyFill="1" applyBorder="1" applyAlignment="1">
      <alignment vertical="center"/>
    </xf>
    <xf numFmtId="0" fontId="14" fillId="2" borderId="11" xfId="3" applyFont="1" applyFill="1" applyBorder="1" applyAlignment="1">
      <alignment vertical="center"/>
    </xf>
    <xf numFmtId="0" fontId="14" fillId="2" borderId="11" xfId="3" applyFont="1" applyFill="1" applyBorder="1" applyAlignment="1">
      <alignment vertical="center" wrapText="1"/>
    </xf>
    <xf numFmtId="0" fontId="14" fillId="2" borderId="13" xfId="3" applyFont="1" applyFill="1" applyBorder="1" applyAlignment="1">
      <alignment vertical="center"/>
    </xf>
    <xf numFmtId="0" fontId="14" fillId="2" borderId="24" xfId="3" applyFont="1" applyFill="1" applyBorder="1" applyAlignment="1">
      <alignment horizontal="left" vertical="center"/>
    </xf>
    <xf numFmtId="0" fontId="14" fillId="2" borderId="11" xfId="3" applyFont="1" applyFill="1" applyBorder="1" applyAlignment="1">
      <alignment horizontal="left" vertical="center"/>
    </xf>
    <xf numFmtId="0" fontId="14" fillId="2" borderId="13" xfId="3" applyFont="1" applyFill="1" applyBorder="1" applyAlignment="1">
      <alignment horizontal="left" vertical="center"/>
    </xf>
    <xf numFmtId="0" fontId="14" fillId="2" borderId="74" xfId="3" applyFont="1" applyFill="1" applyBorder="1" applyAlignment="1">
      <alignment vertical="center" wrapText="1"/>
    </xf>
    <xf numFmtId="0" fontId="14" fillId="2" borderId="87" xfId="3" applyFont="1" applyFill="1" applyBorder="1" applyAlignment="1">
      <alignment vertical="center" wrapText="1"/>
    </xf>
    <xf numFmtId="166" fontId="35" fillId="2" borderId="52" xfId="12" applyNumberFormat="1" applyFont="1" applyFill="1" applyBorder="1" applyAlignment="1">
      <alignment horizontal="left" vertical="center" wrapText="1" indent="1"/>
    </xf>
    <xf numFmtId="166" fontId="35" fillId="2" borderId="52" xfId="12" applyNumberFormat="1" applyFont="1" applyFill="1" applyBorder="1" applyAlignment="1">
      <alignment horizontal="center" vertical="center"/>
    </xf>
    <xf numFmtId="2" fontId="35" fillId="2" borderId="52" xfId="12" applyNumberFormat="1" applyFont="1" applyFill="1" applyBorder="1" applyAlignment="1">
      <alignment horizontal="center" vertical="center"/>
    </xf>
    <xf numFmtId="166" fontId="35" fillId="2" borderId="61" xfId="12" applyNumberFormat="1" applyFont="1" applyFill="1" applyBorder="1" applyAlignment="1">
      <alignment horizontal="left" vertical="center" wrapText="1" indent="1"/>
    </xf>
    <xf numFmtId="166" fontId="35" fillId="2" borderId="61" xfId="12" applyNumberFormat="1" applyFont="1" applyFill="1" applyBorder="1" applyAlignment="1">
      <alignment horizontal="center" vertical="center"/>
    </xf>
    <xf numFmtId="165" fontId="35" fillId="0" borderId="62" xfId="12" quotePrefix="1" applyNumberFormat="1" applyFont="1" applyBorder="1" applyAlignment="1">
      <alignment horizontal="center" vertical="center"/>
    </xf>
    <xf numFmtId="0" fontId="14" fillId="2" borderId="88" xfId="0" applyFont="1" applyFill="1" applyBorder="1"/>
    <xf numFmtId="167" fontId="33" fillId="6" borderId="81" xfId="4" applyNumberFormat="1" applyFont="1" applyFill="1" applyBorder="1" applyAlignment="1">
      <alignment horizontal="center" vertical="center"/>
    </xf>
    <xf numFmtId="0" fontId="44" fillId="9" borderId="26" xfId="17" applyFont="1" applyFill="1" applyBorder="1" applyAlignment="1">
      <alignment horizontal="center" vertical="center" wrapText="1"/>
    </xf>
    <xf numFmtId="164" fontId="35" fillId="0" borderId="61" xfId="4" applyFont="1" applyBorder="1" applyAlignment="1">
      <alignment horizontal="center" vertical="center"/>
    </xf>
    <xf numFmtId="167" fontId="35" fillId="0" borderId="89" xfId="4" quotePrefix="1" applyNumberFormat="1" applyFont="1" applyBorder="1" applyAlignment="1">
      <alignment horizontal="center" vertical="center"/>
    </xf>
    <xf numFmtId="167" fontId="35" fillId="0" borderId="61" xfId="4" applyNumberFormat="1" applyFont="1" applyBorder="1" applyAlignment="1">
      <alignment horizontal="center" vertical="center"/>
    </xf>
    <xf numFmtId="167" fontId="35" fillId="0" borderId="62" xfId="4" quotePrefix="1" applyNumberFormat="1" applyFont="1" applyBorder="1" applyAlignment="1">
      <alignment horizontal="center" vertical="center"/>
    </xf>
    <xf numFmtId="0" fontId="14" fillId="2" borderId="90" xfId="3" quotePrefix="1" applyFont="1" applyFill="1" applyBorder="1" applyAlignment="1">
      <alignment horizontal="center" vertical="center"/>
    </xf>
    <xf numFmtId="2" fontId="48" fillId="0" borderId="52" xfId="19" applyNumberFormat="1" applyBorder="1" applyAlignment="1">
      <alignment horizontal="center" vertical="center" wrapText="1"/>
    </xf>
    <xf numFmtId="0" fontId="33" fillId="11" borderId="52" xfId="13" applyFont="1" applyFill="1" applyBorder="1" applyAlignment="1">
      <alignment horizontal="left" vertical="top" wrapText="1"/>
    </xf>
    <xf numFmtId="0" fontId="33" fillId="11" borderId="52" xfId="12" applyFont="1" applyFill="1" applyBorder="1" applyAlignment="1">
      <alignment vertical="center"/>
    </xf>
    <xf numFmtId="4" fontId="33" fillId="11" borderId="52" xfId="13" applyNumberFormat="1" applyFont="1" applyFill="1" applyBorder="1" applyAlignment="1">
      <alignment horizontal="center" vertical="center" wrapText="1"/>
    </xf>
    <xf numFmtId="165" fontId="33" fillId="11" borderId="52" xfId="12" applyNumberFormat="1" applyFont="1" applyFill="1" applyBorder="1" applyAlignment="1">
      <alignment vertical="center"/>
    </xf>
    <xf numFmtId="165" fontId="33" fillId="11" borderId="54" xfId="12" applyNumberFormat="1" applyFont="1" applyFill="1" applyBorder="1" applyAlignment="1">
      <alignment horizontal="center" vertical="center"/>
    </xf>
    <xf numFmtId="167" fontId="33" fillId="4" borderId="81" xfId="4" applyNumberFormat="1" applyFont="1" applyFill="1" applyBorder="1" applyAlignment="1">
      <alignment horizontal="center" vertical="center"/>
    </xf>
    <xf numFmtId="0" fontId="17" fillId="11" borderId="52" xfId="7" applyFont="1" applyFill="1" applyBorder="1" applyAlignment="1">
      <alignment horizontal="center" vertical="center"/>
    </xf>
    <xf numFmtId="1" fontId="20" fillId="11" borderId="52" xfId="0" applyNumberFormat="1" applyFont="1" applyFill="1" applyBorder="1" applyAlignment="1">
      <alignment horizontal="center" vertical="center"/>
    </xf>
    <xf numFmtId="4" fontId="16" fillId="11" borderId="52" xfId="7" applyNumberFormat="1" applyFont="1" applyFill="1" applyBorder="1" applyAlignment="1">
      <alignment horizontal="center" vertical="center"/>
    </xf>
    <xf numFmtId="4" fontId="16" fillId="11" borderId="81" xfId="7" applyNumberFormat="1" applyFont="1" applyFill="1" applyBorder="1" applyAlignment="1">
      <alignment horizontal="center" vertical="center"/>
    </xf>
    <xf numFmtId="0" fontId="35" fillId="0" borderId="81" xfId="4" quotePrefix="1" applyNumberFormat="1" applyFont="1" applyBorder="1" applyAlignment="1">
      <alignment horizontal="center" vertical="center"/>
    </xf>
    <xf numFmtId="0" fontId="39" fillId="0" borderId="0" xfId="20" applyFont="1"/>
    <xf numFmtId="166" fontId="35" fillId="0" borderId="61" xfId="12" applyNumberFormat="1" applyFont="1" applyBorder="1" applyAlignment="1">
      <alignment horizontal="left" vertical="center" wrapText="1"/>
    </xf>
    <xf numFmtId="49" fontId="33" fillId="6" borderId="52" xfId="13" applyNumberFormat="1" applyFont="1" applyFill="1" applyBorder="1" applyAlignment="1">
      <alignment horizontal="left" vertical="top" wrapText="1"/>
    </xf>
    <xf numFmtId="0" fontId="14" fillId="2" borderId="2" xfId="3" applyFont="1" applyFill="1" applyBorder="1" applyAlignment="1">
      <alignment vertical="center" wrapText="1"/>
    </xf>
    <xf numFmtId="0" fontId="14" fillId="2" borderId="11" xfId="0" applyFont="1" applyFill="1" applyBorder="1" applyAlignment="1">
      <alignment vertical="center" wrapText="1"/>
    </xf>
    <xf numFmtId="0" fontId="14" fillId="2" borderId="11" xfId="0" applyFont="1" applyFill="1" applyBorder="1" applyAlignment="1">
      <alignment vertical="center"/>
    </xf>
    <xf numFmtId="0" fontId="6" fillId="2" borderId="7" xfId="3" applyFont="1" applyFill="1" applyBorder="1" applyAlignment="1">
      <alignment horizontal="center" vertical="center" wrapText="1"/>
    </xf>
    <xf numFmtId="0" fontId="14" fillId="2" borderId="2" xfId="3" applyFont="1" applyFill="1" applyBorder="1" applyAlignment="1">
      <alignment vertical="center"/>
    </xf>
    <xf numFmtId="1" fontId="33" fillId="12" borderId="53" xfId="12" quotePrefix="1" applyNumberFormat="1" applyFont="1" applyFill="1" applyBorder="1" applyAlignment="1">
      <alignment horizontal="center" vertical="center"/>
    </xf>
    <xf numFmtId="1" fontId="33" fillId="12" borderId="52" xfId="12" quotePrefix="1" applyNumberFormat="1" applyFont="1" applyFill="1" applyBorder="1" applyAlignment="1">
      <alignment horizontal="center" vertical="center"/>
    </xf>
    <xf numFmtId="0" fontId="33" fillId="12" borderId="52" xfId="12" applyFont="1" applyFill="1" applyBorder="1" applyAlignment="1">
      <alignment vertical="center"/>
    </xf>
    <xf numFmtId="4" fontId="33" fillId="12" borderId="52" xfId="13" applyNumberFormat="1" applyFont="1" applyFill="1" applyBorder="1" applyAlignment="1">
      <alignment horizontal="center" vertical="center" wrapText="1"/>
    </xf>
    <xf numFmtId="165" fontId="33" fillId="12" borderId="54" xfId="12" applyNumberFormat="1" applyFont="1" applyFill="1" applyBorder="1" applyAlignment="1">
      <alignment horizontal="center" vertical="center"/>
    </xf>
    <xf numFmtId="49" fontId="33" fillId="12" borderId="52" xfId="13" applyNumberFormat="1" applyFont="1" applyFill="1" applyBorder="1" applyAlignment="1">
      <alignment horizontal="left" vertical="center" wrapText="1"/>
    </xf>
    <xf numFmtId="4" fontId="35" fillId="0" borderId="52" xfId="12" applyNumberFormat="1" applyFont="1" applyBorder="1" applyAlignment="1" applyProtection="1">
      <alignment horizontal="center" vertical="center"/>
      <protection locked="0"/>
    </xf>
    <xf numFmtId="164" fontId="33" fillId="6" borderId="52" xfId="4" applyFont="1" applyFill="1" applyBorder="1" applyAlignment="1" applyProtection="1">
      <alignment vertical="center"/>
      <protection locked="0"/>
    </xf>
    <xf numFmtId="164" fontId="33" fillId="12" borderId="52" xfId="4" applyFont="1" applyFill="1" applyBorder="1" applyAlignment="1" applyProtection="1">
      <alignment vertical="center"/>
      <protection locked="0"/>
    </xf>
    <xf numFmtId="4" fontId="35" fillId="0" borderId="61" xfId="12" applyNumberFormat="1" applyFont="1" applyBorder="1" applyAlignment="1" applyProtection="1">
      <alignment horizontal="center" vertical="center"/>
      <protection locked="0"/>
    </xf>
    <xf numFmtId="49" fontId="35" fillId="2" borderId="52" xfId="12" applyNumberFormat="1" applyFont="1" applyFill="1" applyBorder="1" applyAlignment="1">
      <alignment horizontal="left" vertical="center" wrapText="1" indent="1"/>
    </xf>
    <xf numFmtId="2" fontId="49" fillId="0" borderId="52" xfId="12" applyNumberFormat="1" applyFont="1" applyBorder="1" applyAlignment="1">
      <alignment horizontal="center" vertical="center" wrapText="1"/>
    </xf>
    <xf numFmtId="2" fontId="49" fillId="0" borderId="61" xfId="12" applyNumberFormat="1" applyFont="1" applyBorder="1" applyAlignment="1">
      <alignment horizontal="center" vertical="center" wrapText="1"/>
    </xf>
    <xf numFmtId="0" fontId="50" fillId="0" borderId="52" xfId="0" applyFont="1" applyBorder="1" applyAlignment="1">
      <alignment vertical="center" wrapText="1"/>
    </xf>
    <xf numFmtId="4" fontId="50" fillId="0" borderId="52" xfId="0" applyNumberFormat="1" applyFont="1" applyBorder="1" applyAlignment="1">
      <alignment horizontal="center" vertical="center" wrapText="1"/>
    </xf>
    <xf numFmtId="0" fontId="50" fillId="0" borderId="52" xfId="0" applyFont="1" applyBorder="1" applyAlignment="1">
      <alignment horizontal="left" vertical="center" wrapText="1"/>
    </xf>
    <xf numFmtId="1" fontId="35" fillId="0" borderId="81" xfId="12" quotePrefix="1" applyNumberFormat="1" applyFont="1" applyBorder="1" applyAlignment="1">
      <alignment horizontal="center" vertical="center"/>
    </xf>
    <xf numFmtId="0" fontId="20" fillId="0" borderId="52" xfId="0" applyFont="1" applyBorder="1" applyAlignment="1">
      <alignment vertical="center" wrapText="1"/>
    </xf>
    <xf numFmtId="0" fontId="50" fillId="0" borderId="61" xfId="0" applyFont="1" applyBorder="1" applyAlignment="1">
      <alignment vertical="center" wrapText="1"/>
    </xf>
    <xf numFmtId="4" fontId="50" fillId="0" borderId="61" xfId="0" applyNumberFormat="1" applyFont="1" applyBorder="1" applyAlignment="1">
      <alignment horizontal="center" vertical="center" wrapText="1"/>
    </xf>
    <xf numFmtId="2" fontId="48" fillId="0" borderId="61" xfId="19" applyNumberFormat="1" applyBorder="1" applyAlignment="1">
      <alignment horizontal="center" vertical="center" wrapText="1"/>
    </xf>
    <xf numFmtId="0" fontId="36" fillId="3" borderId="32" xfId="7" applyFont="1" applyFill="1" applyBorder="1" applyAlignment="1">
      <alignment horizontal="center" vertical="center" wrapText="1"/>
    </xf>
    <xf numFmtId="0" fontId="36" fillId="3" borderId="58" xfId="7" applyFont="1" applyFill="1" applyBorder="1" applyAlignment="1">
      <alignment horizontal="center" vertical="center"/>
    </xf>
    <xf numFmtId="0" fontId="36" fillId="3" borderId="59" xfId="7" applyFont="1" applyFill="1" applyBorder="1" applyAlignment="1">
      <alignment horizontal="center" vertical="center"/>
    </xf>
    <xf numFmtId="0" fontId="6" fillId="0" borderId="0" xfId="6" applyFont="1" applyAlignment="1">
      <alignment horizontal="left" vertical="center" wrapText="1"/>
    </xf>
    <xf numFmtId="0" fontId="29" fillId="0" borderId="32" xfId="6" applyFont="1" applyBorder="1" applyAlignment="1">
      <alignment horizontal="left" vertical="center" wrapText="1"/>
    </xf>
    <xf numFmtId="0" fontId="29" fillId="0" borderId="58" xfId="6" applyFont="1" applyBorder="1" applyAlignment="1">
      <alignment horizontal="left" vertical="center" wrapText="1"/>
    </xf>
    <xf numFmtId="0" fontId="29" fillId="0" borderId="59" xfId="6" applyFont="1" applyBorder="1" applyAlignment="1">
      <alignment horizontal="left" vertical="center" wrapText="1"/>
    </xf>
    <xf numFmtId="0" fontId="24" fillId="0" borderId="22" xfId="6" applyFont="1" applyBorder="1" applyAlignment="1">
      <alignment wrapText="1"/>
    </xf>
    <xf numFmtId="0" fontId="24" fillId="0" borderId="20" xfId="6" applyFont="1" applyBorder="1" applyAlignment="1">
      <alignment wrapText="1"/>
    </xf>
    <xf numFmtId="0" fontId="13" fillId="0" borderId="4" xfId="6" applyFont="1" applyBorder="1" applyAlignment="1">
      <alignment horizontal="center" vertical="center" wrapText="1"/>
    </xf>
    <xf numFmtId="0" fontId="13" fillId="0" borderId="23" xfId="6" applyFont="1" applyBorder="1" applyAlignment="1">
      <alignment horizontal="center" vertical="center" wrapText="1"/>
    </xf>
    <xf numFmtId="0" fontId="13" fillId="0" borderId="5" xfId="6" applyFont="1" applyBorder="1" applyAlignment="1">
      <alignment horizontal="center" vertical="center" wrapText="1"/>
    </xf>
    <xf numFmtId="0" fontId="13" fillId="0" borderId="16" xfId="6" applyFont="1" applyBorder="1" applyAlignment="1">
      <alignment horizontal="center" vertical="center" wrapText="1"/>
    </xf>
    <xf numFmtId="0" fontId="24" fillId="0" borderId="4" xfId="6" applyFont="1" applyBorder="1" applyAlignment="1">
      <alignment wrapText="1"/>
    </xf>
    <xf numFmtId="0" fontId="24" fillId="0" borderId="23" xfId="6" applyFont="1" applyBorder="1" applyAlignment="1">
      <alignment wrapText="1"/>
    </xf>
    <xf numFmtId="0" fontId="31" fillId="3" borderId="4" xfId="7" applyFont="1" applyFill="1" applyBorder="1" applyAlignment="1">
      <alignment horizontal="center" vertical="center" wrapText="1"/>
    </xf>
    <xf numFmtId="0" fontId="31" fillId="3" borderId="48" xfId="7" applyFont="1" applyFill="1" applyBorder="1" applyAlignment="1">
      <alignment horizontal="center" vertical="center" wrapText="1"/>
    </xf>
    <xf numFmtId="0" fontId="31" fillId="3" borderId="49" xfId="7" applyFont="1" applyFill="1" applyBorder="1" applyAlignment="1">
      <alignment horizontal="center" vertical="center" wrapText="1"/>
    </xf>
    <xf numFmtId="0" fontId="31" fillId="3" borderId="5" xfId="7" applyFont="1" applyFill="1" applyBorder="1" applyAlignment="1">
      <alignment horizontal="center" vertical="center" wrapText="1"/>
    </xf>
    <xf numFmtId="0" fontId="31" fillId="3" borderId="50" xfId="7" applyFont="1" applyFill="1" applyBorder="1" applyAlignment="1">
      <alignment horizontal="center" vertical="center" wrapText="1"/>
    </xf>
    <xf numFmtId="0" fontId="31" fillId="3" borderId="51" xfId="7" applyFont="1" applyFill="1" applyBorder="1" applyAlignment="1">
      <alignment horizontal="center" vertical="center" wrapText="1"/>
    </xf>
    <xf numFmtId="0" fontId="18" fillId="0" borderId="53" xfId="7" applyFont="1" applyBorder="1" applyAlignment="1">
      <alignment horizontal="center" vertical="center" wrapText="1"/>
    </xf>
    <xf numFmtId="0" fontId="18" fillId="0" borderId="52" xfId="7" applyFont="1" applyBorder="1" applyAlignment="1">
      <alignment horizontal="center" vertical="center" wrapText="1"/>
    </xf>
    <xf numFmtId="1" fontId="33" fillId="5" borderId="53" xfId="12" quotePrefix="1" applyNumberFormat="1" applyFont="1" applyFill="1" applyBorder="1" applyAlignment="1">
      <alignment horizontal="center" vertical="center"/>
    </xf>
    <xf numFmtId="1" fontId="33" fillId="5" borderId="52" xfId="12" quotePrefix="1" applyNumberFormat="1" applyFont="1" applyFill="1" applyBorder="1" applyAlignment="1">
      <alignment horizontal="center" vertical="center"/>
    </xf>
    <xf numFmtId="1" fontId="21" fillId="3" borderId="56" xfId="7" applyNumberFormat="1" applyFont="1" applyFill="1" applyBorder="1" applyAlignment="1">
      <alignment horizontal="center" vertical="center" wrapText="1"/>
    </xf>
    <xf numFmtId="1" fontId="21" fillId="3" borderId="52" xfId="7" applyNumberFormat="1" applyFont="1" applyFill="1" applyBorder="1" applyAlignment="1">
      <alignment horizontal="center" vertical="center" wrapText="1"/>
    </xf>
    <xf numFmtId="4" fontId="16" fillId="3" borderId="56" xfId="7" applyNumberFormat="1" applyFont="1" applyFill="1" applyBorder="1" applyAlignment="1">
      <alignment horizontal="center" vertical="center" wrapText="1"/>
    </xf>
    <xf numFmtId="4" fontId="16" fillId="3" borderId="57" xfId="7" applyNumberFormat="1" applyFont="1" applyFill="1" applyBorder="1" applyAlignment="1">
      <alignment horizontal="center" vertical="center" wrapText="1"/>
    </xf>
    <xf numFmtId="4" fontId="16" fillId="3" borderId="52" xfId="7" applyNumberFormat="1" applyFont="1" applyFill="1" applyBorder="1" applyAlignment="1">
      <alignment horizontal="center" vertical="center" wrapText="1"/>
    </xf>
    <xf numFmtId="4" fontId="16" fillId="3" borderId="54" xfId="7" applyNumberFormat="1" applyFont="1" applyFill="1" applyBorder="1" applyAlignment="1">
      <alignment horizontal="center" vertical="center" wrapText="1"/>
    </xf>
    <xf numFmtId="0" fontId="26" fillId="0" borderId="63" xfId="7" applyFont="1" applyBorder="1" applyAlignment="1">
      <alignment horizontal="center" vertical="center"/>
    </xf>
    <xf numFmtId="0" fontId="16" fillId="3" borderId="55" xfId="7" applyFont="1" applyFill="1" applyBorder="1" applyAlignment="1">
      <alignment horizontal="center" vertical="center" wrapText="1"/>
    </xf>
    <xf numFmtId="0" fontId="16" fillId="3" borderId="56" xfId="7" applyFont="1" applyFill="1" applyBorder="1" applyAlignment="1">
      <alignment horizontal="center" vertical="center" wrapText="1"/>
    </xf>
    <xf numFmtId="0" fontId="16" fillId="3" borderId="53" xfId="7" applyFont="1" applyFill="1" applyBorder="1" applyAlignment="1">
      <alignment horizontal="center" vertical="center" wrapText="1"/>
    </xf>
    <xf numFmtId="0" fontId="16" fillId="3" borderId="52" xfId="7" applyFont="1" applyFill="1" applyBorder="1" applyAlignment="1">
      <alignment horizontal="center" vertical="center" wrapText="1"/>
    </xf>
    <xf numFmtId="0" fontId="17" fillId="3" borderId="56" xfId="7" applyFont="1" applyFill="1" applyBorder="1" applyAlignment="1">
      <alignment horizontal="center" vertical="center" wrapText="1"/>
    </xf>
    <xf numFmtId="0" fontId="17" fillId="3" borderId="52" xfId="7" applyFont="1" applyFill="1" applyBorder="1" applyAlignment="1">
      <alignment horizontal="center" vertical="center" wrapText="1"/>
    </xf>
    <xf numFmtId="1" fontId="21" fillId="3" borderId="77" xfId="7" applyNumberFormat="1" applyFont="1" applyFill="1" applyBorder="1" applyAlignment="1">
      <alignment horizontal="center" vertical="center" wrapText="1"/>
    </xf>
    <xf numFmtId="1" fontId="21" fillId="3" borderId="78" xfId="7" applyNumberFormat="1" applyFont="1" applyFill="1" applyBorder="1" applyAlignment="1">
      <alignment horizontal="center" vertical="center" wrapText="1"/>
    </xf>
    <xf numFmtId="1" fontId="21" fillId="3" borderId="79" xfId="7" applyNumberFormat="1" applyFont="1" applyFill="1" applyBorder="1" applyAlignment="1">
      <alignment horizontal="center" vertical="center" wrapText="1"/>
    </xf>
    <xf numFmtId="1" fontId="33" fillId="11" borderId="53" xfId="12" quotePrefix="1" applyNumberFormat="1" applyFont="1" applyFill="1" applyBorder="1" applyAlignment="1">
      <alignment horizontal="center" vertical="center"/>
    </xf>
    <xf numFmtId="1" fontId="33" fillId="11" borderId="52" xfId="12" quotePrefix="1" applyNumberFormat="1" applyFont="1" applyFill="1" applyBorder="1" applyAlignment="1">
      <alignment horizontal="center" vertical="center"/>
    </xf>
    <xf numFmtId="0" fontId="16" fillId="3" borderId="55" xfId="7" applyFont="1" applyFill="1" applyBorder="1" applyAlignment="1">
      <alignment horizontal="center" vertical="center"/>
    </xf>
    <xf numFmtId="0" fontId="16" fillId="3" borderId="56" xfId="7" applyFont="1" applyFill="1" applyBorder="1" applyAlignment="1">
      <alignment horizontal="center" vertical="center"/>
    </xf>
    <xf numFmtId="0" fontId="16" fillId="3" borderId="53" xfId="7" applyFont="1" applyFill="1" applyBorder="1" applyAlignment="1">
      <alignment horizontal="center" vertical="center"/>
    </xf>
    <xf numFmtId="0" fontId="16" fillId="3" borderId="52" xfId="7" applyFont="1" applyFill="1" applyBorder="1" applyAlignment="1">
      <alignment horizontal="center" vertical="center"/>
    </xf>
    <xf numFmtId="0" fontId="17" fillId="3" borderId="56" xfId="7" applyFont="1" applyFill="1" applyBorder="1" applyAlignment="1">
      <alignment horizontal="center" vertical="center"/>
    </xf>
    <xf numFmtId="0" fontId="17" fillId="3" borderId="52" xfId="7" applyFont="1" applyFill="1" applyBorder="1" applyAlignment="1">
      <alignment horizontal="center" vertical="center"/>
    </xf>
    <xf numFmtId="1" fontId="21" fillId="3" borderId="56" xfId="7" applyNumberFormat="1" applyFont="1" applyFill="1" applyBorder="1" applyAlignment="1">
      <alignment horizontal="center" vertical="center"/>
    </xf>
    <xf numFmtId="1" fontId="21" fillId="3" borderId="52" xfId="7" applyNumberFormat="1" applyFont="1" applyFill="1" applyBorder="1" applyAlignment="1">
      <alignment horizontal="center" vertical="center"/>
    </xf>
    <xf numFmtId="4" fontId="16" fillId="3" borderId="56" xfId="7" applyNumberFormat="1" applyFont="1" applyFill="1" applyBorder="1" applyAlignment="1">
      <alignment horizontal="center" vertical="center"/>
    </xf>
    <xf numFmtId="4" fontId="16" fillId="3" borderId="80" xfId="7" applyNumberFormat="1" applyFont="1" applyFill="1" applyBorder="1" applyAlignment="1">
      <alignment horizontal="center" vertical="center"/>
    </xf>
    <xf numFmtId="4" fontId="16" fillId="3" borderId="52" xfId="7" applyNumberFormat="1" applyFont="1" applyFill="1" applyBorder="1" applyAlignment="1">
      <alignment horizontal="center" vertical="center"/>
    </xf>
    <xf numFmtId="4" fontId="16" fillId="3" borderId="81" xfId="7" applyNumberFormat="1" applyFont="1" applyFill="1" applyBorder="1" applyAlignment="1">
      <alignment horizontal="center" vertical="center"/>
    </xf>
    <xf numFmtId="0" fontId="18" fillId="0" borderId="53" xfId="7" applyFont="1" applyBorder="1" applyAlignment="1">
      <alignment horizontal="center" vertical="center"/>
    </xf>
    <xf numFmtId="0" fontId="18" fillId="0" borderId="52" xfId="7" applyFont="1" applyBorder="1" applyAlignment="1">
      <alignment horizontal="center" vertical="center"/>
    </xf>
    <xf numFmtId="4" fontId="16" fillId="3" borderId="79" xfId="7" applyNumberFormat="1" applyFont="1" applyFill="1" applyBorder="1" applyAlignment="1">
      <alignment horizontal="center" vertical="center"/>
    </xf>
    <xf numFmtId="4" fontId="16" fillId="3" borderId="82" xfId="7" applyNumberFormat="1" applyFont="1" applyFill="1" applyBorder="1" applyAlignment="1">
      <alignment horizontal="center" vertical="center"/>
    </xf>
    <xf numFmtId="4" fontId="16" fillId="3" borderId="54" xfId="7" applyNumberFormat="1" applyFont="1" applyFill="1" applyBorder="1" applyAlignment="1">
      <alignment horizontal="center" vertical="center"/>
    </xf>
    <xf numFmtId="0" fontId="24" fillId="7" borderId="45" xfId="0" applyFont="1" applyFill="1" applyBorder="1" applyAlignment="1">
      <alignment horizontal="right" vertical="center" indent="1"/>
    </xf>
    <xf numFmtId="0" fontId="24" fillId="7" borderId="46" xfId="0" applyFont="1" applyFill="1" applyBorder="1" applyAlignment="1">
      <alignment horizontal="right" vertical="center" indent="1"/>
    </xf>
    <xf numFmtId="0" fontId="26" fillId="0" borderId="0" xfId="7" applyFont="1" applyAlignment="1">
      <alignment horizontal="center" vertical="center"/>
    </xf>
    <xf numFmtId="0" fontId="11" fillId="3" borderId="34" xfId="0" applyFont="1" applyFill="1" applyBorder="1" applyAlignment="1">
      <alignment horizontal="center" vertical="center"/>
    </xf>
    <xf numFmtId="0" fontId="11" fillId="3" borderId="2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35" xfId="7" applyFont="1" applyFill="1" applyBorder="1" applyAlignment="1">
      <alignment horizontal="center" vertical="center" wrapText="1"/>
    </xf>
    <xf numFmtId="0" fontId="11" fillId="3" borderId="2" xfId="7" applyFont="1" applyFill="1" applyBorder="1" applyAlignment="1">
      <alignment horizontal="center" vertical="center" wrapText="1"/>
    </xf>
    <xf numFmtId="0" fontId="11" fillId="3" borderId="29" xfId="7" applyFont="1" applyFill="1" applyBorder="1" applyAlignment="1">
      <alignment horizontal="center" vertical="center" wrapText="1"/>
    </xf>
    <xf numFmtId="0" fontId="11" fillId="3" borderId="36" xfId="7" applyFont="1" applyFill="1" applyBorder="1" applyAlignment="1">
      <alignment horizontal="center" vertical="center" wrapText="1"/>
    </xf>
    <xf numFmtId="0" fontId="11" fillId="3" borderId="15" xfId="7" applyFont="1" applyFill="1" applyBorder="1" applyAlignment="1">
      <alignment horizontal="center" vertical="center" wrapText="1"/>
    </xf>
    <xf numFmtId="0" fontId="11" fillId="3" borderId="40" xfId="7" applyFont="1" applyFill="1" applyBorder="1" applyAlignment="1">
      <alignment horizontal="center" vertical="center" wrapText="1"/>
    </xf>
    <xf numFmtId="4" fontId="11" fillId="3" borderId="37" xfId="7" applyNumberFormat="1" applyFont="1" applyFill="1" applyBorder="1" applyAlignment="1">
      <alignment horizontal="center" vertical="center" wrapText="1"/>
    </xf>
    <xf numFmtId="4" fontId="11" fillId="3" borderId="38" xfId="7" applyNumberFormat="1" applyFont="1" applyFill="1" applyBorder="1" applyAlignment="1">
      <alignment horizontal="center" vertical="center" wrapText="1"/>
    </xf>
    <xf numFmtId="4" fontId="11" fillId="3" borderId="41" xfId="7" applyNumberFormat="1" applyFont="1" applyFill="1" applyBorder="1" applyAlignment="1">
      <alignment horizontal="center" vertical="center" wrapText="1"/>
    </xf>
    <xf numFmtId="4" fontId="11" fillId="3" borderId="42" xfId="7" applyNumberFormat="1" applyFont="1" applyFill="1" applyBorder="1" applyAlignment="1">
      <alignment horizontal="center" vertical="center" wrapText="1"/>
    </xf>
    <xf numFmtId="0" fontId="44" fillId="9" borderId="6" xfId="17" applyFont="1" applyFill="1" applyBorder="1" applyAlignment="1">
      <alignment horizontal="center" vertical="center" wrapText="1"/>
    </xf>
    <xf numFmtId="0" fontId="44" fillId="9" borderId="8" xfId="17" applyFont="1" applyFill="1" applyBorder="1" applyAlignment="1">
      <alignment horizontal="center" vertical="center" wrapText="1"/>
    </xf>
    <xf numFmtId="0" fontId="44" fillId="9" borderId="75" xfId="17" applyFont="1" applyFill="1" applyBorder="1" applyAlignment="1">
      <alignment horizontal="center" vertical="center" wrapText="1"/>
    </xf>
    <xf numFmtId="0" fontId="44" fillId="9" borderId="69" xfId="17" applyFont="1" applyFill="1" applyBorder="1" applyAlignment="1">
      <alignment horizontal="center" vertical="center" wrapText="1"/>
    </xf>
    <xf numFmtId="0" fontId="44" fillId="9" borderId="83" xfId="17" applyFont="1" applyFill="1" applyBorder="1" applyAlignment="1">
      <alignment horizontal="center" vertical="center" wrapText="1"/>
    </xf>
    <xf numFmtId="0" fontId="44" fillId="9" borderId="3" xfId="17" applyFont="1" applyFill="1" applyBorder="1" applyAlignment="1">
      <alignment horizontal="center" vertical="center" wrapText="1"/>
    </xf>
    <xf numFmtId="0" fontId="44" fillId="9" borderId="76" xfId="17" applyFont="1" applyFill="1" applyBorder="1" applyAlignment="1">
      <alignment horizontal="center" vertical="center" wrapText="1"/>
    </xf>
    <xf numFmtId="0" fontId="44" fillId="9" borderId="26" xfId="17" applyFont="1" applyFill="1" applyBorder="1" applyAlignment="1">
      <alignment horizontal="center" vertical="center" wrapText="1"/>
    </xf>
    <xf numFmtId="0" fontId="47" fillId="10" borderId="26" xfId="0" applyFont="1" applyFill="1" applyBorder="1" applyAlignment="1">
      <alignment horizontal="center" vertical="center"/>
    </xf>
    <xf numFmtId="0" fontId="52" fillId="0" borderId="0" xfId="0" applyFont="1"/>
    <xf numFmtId="0" fontId="53" fillId="0" borderId="0" xfId="0" applyFont="1"/>
    <xf numFmtId="0" fontId="52" fillId="0" borderId="68" xfId="0" applyFont="1" applyBorder="1"/>
    <xf numFmtId="0" fontId="39" fillId="0" borderId="0" xfId="0" applyFont="1" applyAlignment="1">
      <alignment horizontal="center" vertical="center" wrapText="1"/>
    </xf>
    <xf numFmtId="0" fontId="0" fillId="0" borderId="0" xfId="0" applyAlignment="1">
      <alignment vertical="center" wrapText="1"/>
    </xf>
    <xf numFmtId="0" fontId="51" fillId="0" borderId="26" xfId="0" applyFont="1" applyBorder="1" applyAlignment="1">
      <alignment vertical="center"/>
    </xf>
    <xf numFmtId="0" fontId="0" fillId="0" borderId="26" xfId="0" applyBorder="1"/>
    <xf numFmtId="0" fontId="54" fillId="0" borderId="26" xfId="0" applyFont="1" applyBorder="1" applyAlignment="1">
      <alignment vertical="center"/>
    </xf>
    <xf numFmtId="0" fontId="55" fillId="0" borderId="26" xfId="0" applyFont="1" applyBorder="1"/>
    <xf numFmtId="0" fontId="55" fillId="0" borderId="0" xfId="0" applyFont="1"/>
    <xf numFmtId="0" fontId="54" fillId="0" borderId="26" xfId="0" applyFont="1" applyBorder="1" applyAlignment="1">
      <alignment horizontal="center" vertical="center" wrapText="1"/>
    </xf>
    <xf numFmtId="0" fontId="55" fillId="0" borderId="26" xfId="0" applyFont="1" applyBorder="1" applyAlignment="1">
      <alignment vertical="center" wrapText="1"/>
    </xf>
    <xf numFmtId="0" fontId="54" fillId="0" borderId="26" xfId="0" applyFont="1" applyBorder="1"/>
    <xf numFmtId="0" fontId="56" fillId="0" borderId="0" xfId="0" applyFont="1"/>
    <xf numFmtId="0" fontId="39" fillId="0" borderId="0" xfId="0" applyFont="1" applyAlignment="1">
      <alignment vertical="center" wrapText="1"/>
    </xf>
    <xf numFmtId="0" fontId="57" fillId="0" borderId="0" xfId="0" applyFont="1"/>
    <xf numFmtId="0" fontId="0" fillId="0" borderId="0" xfId="0" applyAlignment="1">
      <alignment horizontal="right" vertical="center" wrapText="1"/>
    </xf>
    <xf numFmtId="0" fontId="39" fillId="0" borderId="0" xfId="0" applyFont="1" applyAlignment="1">
      <alignment horizontal="right" vertical="center" wrapText="1"/>
    </xf>
    <xf numFmtId="0" fontId="57" fillId="0" borderId="26" xfId="0" applyFont="1" applyBorder="1"/>
    <xf numFmtId="0" fontId="58" fillId="0" borderId="26" xfId="0" applyFont="1" applyBorder="1" applyAlignment="1">
      <alignment horizontal="center" vertical="center" wrapText="1"/>
    </xf>
    <xf numFmtId="0" fontId="58" fillId="0" borderId="26" xfId="0" applyFont="1" applyBorder="1" applyAlignment="1">
      <alignment vertical="center" wrapText="1"/>
    </xf>
    <xf numFmtId="0" fontId="57" fillId="0" borderId="26" xfId="0" applyFont="1" applyBorder="1" applyAlignment="1">
      <alignment vertical="center" wrapText="1"/>
    </xf>
  </cellXfs>
  <cellStyles count="21">
    <cellStyle name="Comma" xfId="4" builtinId="3"/>
    <cellStyle name="Comma 2" xfId="2" xr:uid="{00000000-0005-0000-0000-000001000000}"/>
    <cellStyle name="Comma 3" xfId="15" xr:uid="{0D760CFE-15A1-4CFF-B1E8-521B4A08ABA6}"/>
    <cellStyle name="Hyperlink" xfId="19" builtinId="8"/>
    <cellStyle name="Normal" xfId="0" builtinId="0"/>
    <cellStyle name="Normal 2" xfId="1" xr:uid="{00000000-0005-0000-0000-000003000000}"/>
    <cellStyle name="Normal 2 19" xfId="18" xr:uid="{1EE7A594-9AC8-4ABC-A304-78E5E17D11E8}"/>
    <cellStyle name="Normal 2 2" xfId="3" xr:uid="{00000000-0005-0000-0000-000004000000}"/>
    <cellStyle name="Normal 2 3" xfId="9" xr:uid="{00000000-0005-0000-0000-000005000000}"/>
    <cellStyle name="Normal 2 3 2" xfId="17" xr:uid="{7F2DCBEA-445B-49FD-9A82-21F9D69E8874}"/>
    <cellStyle name="Normal 3" xfId="6" xr:uid="{00000000-0005-0000-0000-000006000000}"/>
    <cellStyle name="Normal 4" xfId="12" xr:uid="{00000000-0005-0000-0000-000007000000}"/>
    <cellStyle name="Normal 5" xfId="14" xr:uid="{86D38E00-03E5-4ECB-B784-32F96E2BC5D4}"/>
    <cellStyle name="Normal 6" xfId="20" xr:uid="{1DB757D3-1D81-4065-B475-EEA8BF1370FE}"/>
    <cellStyle name="Normal 8" xfId="5" xr:uid="{00000000-0005-0000-0000-000008000000}"/>
    <cellStyle name="Normal_Converted TS_basement carpark_12.12.08" xfId="13" xr:uid="{00000000-0005-0000-0000-000009000000}"/>
    <cellStyle name="Percent 2" xfId="16" xr:uid="{8CD89E1D-47D5-436E-9E33-11A595E2F6A8}"/>
    <cellStyle name="Обычный 2" xfId="11" xr:uid="{00000000-0005-0000-0000-00000A000000}"/>
    <cellStyle name="桁区切り 2" xfId="10" xr:uid="{00000000-0005-0000-0000-00000B000000}"/>
    <cellStyle name="標準 2" xfId="7" xr:uid="{00000000-0005-0000-0000-00000C000000}"/>
    <cellStyle name="標準_Estimation DSDP2 Finallxls" xfId="8" xr:uid="{00000000-0005-0000-0000-00000D000000}"/>
  </cellStyles>
  <dxfs count="0"/>
  <tableStyles count="0" defaultTableStyle="TableStyleMedium9" defaultPivotStyle="PivotStyleLight16"/>
  <colors>
    <mruColors>
      <color rgb="FFFFFF99"/>
      <color rgb="FF66FF33"/>
      <color rgb="FF0000FF"/>
      <color rgb="FF0033CC"/>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6</xdr:col>
      <xdr:colOff>800100</xdr:colOff>
      <xdr:row>18</xdr:row>
      <xdr:rowOff>0</xdr:rowOff>
    </xdr:from>
    <xdr:ext cx="65" cy="172227"/>
    <xdr:sp macro="" textlink="">
      <xdr:nvSpPr>
        <xdr:cNvPr id="15" name="TextBox 14">
          <a:extLst>
            <a:ext uri="{FF2B5EF4-FFF2-40B4-BE49-F238E27FC236}">
              <a16:creationId xmlns:a16="http://schemas.microsoft.com/office/drawing/2014/main" id="{2D1680E8-0C6D-4820-B7F5-0E42B1B375D5}"/>
            </a:ext>
          </a:extLst>
        </xdr:cNvPr>
        <xdr:cNvSpPr txBox="1"/>
      </xdr:nvSpPr>
      <xdr:spPr>
        <a:xfrm>
          <a:off x="8458200" y="957357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az-Latn-AZ"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800100</xdr:colOff>
      <xdr:row>18</xdr:row>
      <xdr:rowOff>0</xdr:rowOff>
    </xdr:from>
    <xdr:ext cx="65" cy="172227"/>
    <xdr:sp macro="" textlink="">
      <xdr:nvSpPr>
        <xdr:cNvPr id="2" name="TextBox 1">
          <a:extLst>
            <a:ext uri="{FF2B5EF4-FFF2-40B4-BE49-F238E27FC236}">
              <a16:creationId xmlns:a16="http://schemas.microsoft.com/office/drawing/2014/main" id="{97722AE8-0DE2-47B0-AC3C-427981081D72}"/>
            </a:ext>
          </a:extLst>
        </xdr:cNvPr>
        <xdr:cNvSpPr txBox="1"/>
      </xdr:nvSpPr>
      <xdr:spPr>
        <a:xfrm>
          <a:off x="8458200" y="739902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az-Latn-AZ"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J1090"/>
  <sheetViews>
    <sheetView showGridLines="0" topLeftCell="A4" zoomScale="85" zoomScaleNormal="85" zoomScaleSheetLayoutView="100" workbookViewId="0">
      <selection activeCell="A10" sqref="A10:B10"/>
    </sheetView>
  </sheetViews>
  <sheetFormatPr defaultColWidth="7" defaultRowHeight="13.2"/>
  <cols>
    <col min="1" max="1" width="63.109375" style="1" customWidth="1"/>
    <col min="2" max="2" width="10.88671875" style="1" customWidth="1"/>
    <col min="3" max="3" width="25.6640625" style="11" customWidth="1"/>
    <col min="4" max="4" width="14.44140625" style="1" customWidth="1"/>
    <col min="5" max="5" width="4.44140625" style="1" hidden="1" customWidth="1"/>
    <col min="6" max="6" width="7" style="1" hidden="1" customWidth="1"/>
    <col min="7" max="8" width="11.44140625" style="1" hidden="1" customWidth="1"/>
    <col min="9" max="9" width="10.44140625" style="1" hidden="1" customWidth="1"/>
    <col min="10" max="10" width="11.44140625" style="1" customWidth="1"/>
    <col min="11" max="16384" width="7" style="1"/>
  </cols>
  <sheetData>
    <row r="1" spans="1:10" ht="54.6" customHeight="1" thickBot="1">
      <c r="A1" s="244" t="s">
        <v>773</v>
      </c>
      <c r="B1" s="245"/>
      <c r="C1" s="246"/>
      <c r="D1" s="30"/>
      <c r="E1" s="30"/>
      <c r="F1" s="30"/>
      <c r="G1" s="30"/>
      <c r="H1" s="30"/>
      <c r="I1" s="30"/>
      <c r="J1" s="30"/>
    </row>
    <row r="2" spans="1:10" ht="54.6" customHeight="1" thickBot="1">
      <c r="A2" s="244" t="s">
        <v>67</v>
      </c>
      <c r="B2" s="245"/>
      <c r="C2" s="246"/>
      <c r="D2" s="30"/>
      <c r="E2" s="30"/>
      <c r="F2" s="30"/>
      <c r="G2" s="30"/>
      <c r="H2" s="30"/>
      <c r="I2" s="30"/>
      <c r="J2" s="30"/>
    </row>
    <row r="3" spans="1:10" ht="10.95" customHeight="1" thickBot="1">
      <c r="A3" s="30"/>
      <c r="B3" s="30"/>
      <c r="C3" s="30"/>
      <c r="D3" s="30"/>
      <c r="E3" s="30"/>
      <c r="F3" s="30"/>
      <c r="G3" s="30"/>
      <c r="H3" s="30"/>
      <c r="I3" s="30"/>
      <c r="J3" s="30"/>
    </row>
    <row r="4" spans="1:10" ht="21" customHeight="1">
      <c r="A4" s="259" t="s">
        <v>18</v>
      </c>
      <c r="B4" s="260"/>
      <c r="C4" s="261"/>
      <c r="D4" s="30"/>
      <c r="E4" s="30"/>
      <c r="F4" s="30"/>
      <c r="G4" s="30"/>
      <c r="H4" s="30"/>
      <c r="I4" s="30"/>
      <c r="J4" s="30"/>
    </row>
    <row r="5" spans="1:10" ht="21" customHeight="1" thickBot="1">
      <c r="A5" s="262"/>
      <c r="B5" s="263"/>
      <c r="C5" s="264"/>
      <c r="D5" s="30"/>
      <c r="E5" s="30"/>
      <c r="F5" s="30"/>
      <c r="G5" s="30"/>
      <c r="H5" s="30"/>
      <c r="I5" s="30"/>
      <c r="J5" s="30"/>
    </row>
    <row r="6" spans="1:10" ht="16.5" customHeight="1" thickBot="1">
      <c r="A6" s="21"/>
      <c r="B6" s="21"/>
      <c r="C6" s="22"/>
      <c r="D6" s="30"/>
      <c r="E6" s="30"/>
      <c r="F6" s="30"/>
      <c r="G6" s="30"/>
      <c r="H6" s="30"/>
      <c r="I6" s="30"/>
      <c r="J6" s="30"/>
    </row>
    <row r="7" spans="1:10" ht="20.399999999999999" customHeight="1">
      <c r="A7" s="253" t="s">
        <v>3</v>
      </c>
      <c r="B7" s="254"/>
      <c r="C7" s="13" t="s">
        <v>4</v>
      </c>
      <c r="D7" s="30"/>
      <c r="E7" s="30"/>
      <c r="F7" s="30"/>
      <c r="G7" s="30"/>
      <c r="H7" s="30"/>
      <c r="I7" s="30"/>
      <c r="J7" s="30"/>
    </row>
    <row r="8" spans="1:10" ht="20.399999999999999" customHeight="1" thickBot="1">
      <c r="A8" s="255"/>
      <c r="B8" s="256"/>
      <c r="C8" s="14" t="s">
        <v>2</v>
      </c>
      <c r="D8" s="30"/>
      <c r="E8" s="30"/>
      <c r="F8" s="30"/>
      <c r="G8" s="30"/>
      <c r="H8" s="30"/>
      <c r="I8" s="30"/>
      <c r="J8" s="30"/>
    </row>
    <row r="9" spans="1:10" s="3" customFormat="1" ht="22.95" customHeight="1">
      <c r="A9" s="257" t="s">
        <v>706</v>
      </c>
      <c r="B9" s="258"/>
      <c r="C9" s="105">
        <f>'1 - Direct_DK_BoQ'!L9</f>
        <v>997821.07721700007</v>
      </c>
      <c r="D9" s="12"/>
      <c r="E9" s="2"/>
      <c r="F9" s="2"/>
      <c r="G9" s="2"/>
      <c r="H9" s="2"/>
      <c r="I9" s="2"/>
      <c r="J9" s="2"/>
    </row>
    <row r="10" spans="1:10" s="3" customFormat="1" ht="22.95" customHeight="1">
      <c r="A10" s="251" t="s">
        <v>743</v>
      </c>
      <c r="B10" s="252"/>
      <c r="C10" s="105">
        <f>'2 - Direct_MH_BoQ'!L9</f>
        <v>178251.24</v>
      </c>
      <c r="D10" s="12"/>
      <c r="E10" s="2"/>
      <c r="F10" s="2"/>
      <c r="G10" s="2"/>
      <c r="H10" s="2"/>
      <c r="I10" s="2"/>
      <c r="J10" s="2"/>
    </row>
    <row r="11" spans="1:10" s="3" customFormat="1" ht="22.95" customHeight="1">
      <c r="A11" s="251" t="s">
        <v>704</v>
      </c>
      <c r="B11" s="252"/>
      <c r="C11" s="105">
        <f>'3 - Indirect'!F40</f>
        <v>1609500</v>
      </c>
      <c r="D11" s="34"/>
      <c r="E11" s="2"/>
      <c r="F11" s="2"/>
      <c r="G11" s="2"/>
      <c r="H11" s="2"/>
      <c r="I11" s="2"/>
      <c r="J11" s="2"/>
    </row>
    <row r="12" spans="1:10" s="3" customFormat="1" ht="22.95" customHeight="1">
      <c r="A12" s="251" t="s">
        <v>705</v>
      </c>
      <c r="B12" s="252"/>
      <c r="C12" s="106">
        <f>'4 - Overhead'!F20</f>
        <v>965400</v>
      </c>
      <c r="D12" s="34"/>
      <c r="E12" s="35"/>
      <c r="F12" s="2"/>
      <c r="G12" s="129">
        <f>SUM(C11:C12)+I18</f>
        <v>2574900</v>
      </c>
      <c r="H12" s="2"/>
      <c r="I12" s="2"/>
      <c r="J12" s="2"/>
    </row>
    <row r="13" spans="1:10" s="3" customFormat="1" ht="27.6" customHeight="1">
      <c r="A13" s="64" t="s">
        <v>375</v>
      </c>
      <c r="B13" s="63"/>
      <c r="C13" s="106">
        <f>(C11+C12+C9+C10)*B13</f>
        <v>0</v>
      </c>
      <c r="D13" s="2"/>
      <c r="E13" s="2"/>
      <c r="F13" s="2"/>
      <c r="G13" s="129">
        <f>'1 - Direct_DK_BoQ'!K6</f>
        <v>997821.07721700019</v>
      </c>
      <c r="H13" s="2"/>
      <c r="I13" s="2"/>
      <c r="J13" s="2"/>
    </row>
    <row r="14" spans="1:10" ht="27.6" customHeight="1">
      <c r="A14" s="31" t="s">
        <v>44</v>
      </c>
      <c r="B14" s="15" t="s">
        <v>5</v>
      </c>
      <c r="C14" s="107">
        <f>SUM(C9:C13)</f>
        <v>3750972.3172169998</v>
      </c>
      <c r="D14" s="10"/>
      <c r="E14" s="30"/>
      <c r="F14" s="30"/>
      <c r="G14" s="130">
        <f>SUM(G12:G13)</f>
        <v>3572721.0772170001</v>
      </c>
      <c r="H14" s="30"/>
      <c r="I14" s="30"/>
      <c r="J14" s="30"/>
    </row>
    <row r="15" spans="1:10" ht="27.6" customHeight="1" thickBot="1">
      <c r="A15" s="32" t="s">
        <v>45</v>
      </c>
      <c r="B15" s="16" t="s">
        <v>6</v>
      </c>
      <c r="C15" s="108">
        <f>C14*0.18</f>
        <v>675175.01709906</v>
      </c>
      <c r="D15" s="30"/>
      <c r="E15" s="30"/>
      <c r="F15" s="30"/>
      <c r="G15" s="30">
        <f>G14/G13</f>
        <v>3.5805227598334506</v>
      </c>
      <c r="H15" s="30"/>
      <c r="I15" s="30"/>
      <c r="J15" s="30"/>
    </row>
    <row r="16" spans="1:10" ht="27.6" customHeight="1" thickBot="1">
      <c r="A16" s="33" t="s">
        <v>68</v>
      </c>
      <c r="B16" s="17" t="s">
        <v>7</v>
      </c>
      <c r="C16" s="109">
        <f>C14+C15</f>
        <v>4426147.3343160599</v>
      </c>
      <c r="D16" s="10"/>
      <c r="E16" s="30"/>
      <c r="F16" s="30"/>
      <c r="G16" s="30"/>
      <c r="H16" s="30"/>
      <c r="I16" s="30"/>
      <c r="J16" s="30"/>
    </row>
    <row r="17" spans="1:10" ht="13.8">
      <c r="A17" s="18"/>
      <c r="B17" s="19"/>
      <c r="C17" s="20"/>
      <c r="D17" s="30"/>
      <c r="E17" s="30"/>
      <c r="F17" s="30"/>
      <c r="G17" s="130">
        <f>C13</f>
        <v>0</v>
      </c>
      <c r="H17" s="130">
        <f>'1 - Direct_DK_BoQ'!J6</f>
        <v>0</v>
      </c>
      <c r="I17" s="130">
        <f>'1 - Direct_DK_BoQ'!K6</f>
        <v>997821.07721700019</v>
      </c>
      <c r="J17" s="130">
        <f>SUM(H17:I17)</f>
        <v>997821.07721700019</v>
      </c>
    </row>
    <row r="18" spans="1:10" ht="14.4" thickBot="1">
      <c r="A18" s="9"/>
      <c r="B18" s="30"/>
      <c r="C18" s="30"/>
      <c r="D18" s="30"/>
      <c r="E18" s="30"/>
      <c r="F18" s="30"/>
      <c r="G18" s="30"/>
      <c r="H18" s="130">
        <f>$G$17*H17/$J$17</f>
        <v>0</v>
      </c>
      <c r="I18" s="130">
        <f>$G$17*I17/$J$17</f>
        <v>0</v>
      </c>
      <c r="J18" s="30"/>
    </row>
    <row r="19" spans="1:10" ht="41.4" customHeight="1" thickBot="1">
      <c r="A19" s="248" t="s">
        <v>96</v>
      </c>
      <c r="B19" s="249"/>
      <c r="C19" s="250"/>
      <c r="D19" s="30"/>
      <c r="E19" s="30"/>
      <c r="F19" s="30"/>
      <c r="G19" s="30"/>
      <c r="H19" s="30" t="e">
        <f>SUM(H17:H18)/H17</f>
        <v>#DIV/0!</v>
      </c>
      <c r="I19" s="30"/>
      <c r="J19" s="30"/>
    </row>
    <row r="20" spans="1:10" ht="14.1" customHeight="1">
      <c r="A20" s="247"/>
      <c r="B20" s="247"/>
      <c r="C20" s="247"/>
      <c r="D20" s="30"/>
      <c r="E20" s="30"/>
      <c r="F20" s="30"/>
      <c r="G20" s="30"/>
      <c r="H20" s="30"/>
      <c r="I20" s="30"/>
      <c r="J20" s="30"/>
    </row>
    <row r="21" spans="1:10" ht="13.8">
      <c r="A21" s="30"/>
      <c r="B21" s="30"/>
      <c r="C21" s="10"/>
      <c r="D21" s="30"/>
      <c r="E21" s="30"/>
      <c r="F21" s="30"/>
      <c r="G21" s="30"/>
      <c r="H21" s="30"/>
      <c r="I21" s="30"/>
      <c r="J21" s="30"/>
    </row>
    <row r="22" spans="1:10" ht="36" customHeight="1">
      <c r="A22" s="30"/>
      <c r="B22" s="30"/>
      <c r="C22" s="10"/>
      <c r="D22" s="30"/>
      <c r="E22" s="30"/>
      <c r="F22" s="30"/>
      <c r="G22" s="30"/>
      <c r="H22" s="30"/>
      <c r="I22" s="30"/>
      <c r="J22" s="30"/>
    </row>
    <row r="23" spans="1:10" ht="30" customHeight="1">
      <c r="A23" s="30"/>
      <c r="B23" s="30"/>
      <c r="C23" s="10"/>
      <c r="D23" s="30"/>
      <c r="E23" s="30"/>
      <c r="F23" s="30"/>
      <c r="G23" s="30"/>
      <c r="H23" s="30"/>
      <c r="I23" s="30"/>
      <c r="J23" s="30"/>
    </row>
    <row r="24" spans="1:10" ht="13.8">
      <c r="A24" s="30"/>
      <c r="B24" s="30"/>
      <c r="C24" s="10"/>
      <c r="D24" s="30"/>
      <c r="E24" s="30"/>
      <c r="F24" s="30"/>
      <c r="G24" s="30"/>
      <c r="H24" s="30"/>
      <c r="I24" s="30"/>
      <c r="J24" s="30"/>
    </row>
    <row r="25" spans="1:10" ht="13.8">
      <c r="A25" s="30"/>
      <c r="B25" s="30"/>
      <c r="C25" s="10"/>
      <c r="D25" s="30"/>
      <c r="E25" s="30"/>
      <c r="F25" s="30"/>
      <c r="G25" s="30"/>
      <c r="H25" s="30"/>
      <c r="I25" s="30"/>
      <c r="J25" s="30"/>
    </row>
    <row r="26" spans="1:10" ht="13.8">
      <c r="A26" s="30"/>
      <c r="B26" s="30"/>
      <c r="C26" s="10"/>
      <c r="D26" s="30"/>
      <c r="E26" s="30"/>
      <c r="F26" s="30"/>
      <c r="G26" s="30"/>
      <c r="H26" s="30"/>
      <c r="I26" s="30"/>
      <c r="J26" s="30"/>
    </row>
    <row r="27" spans="1:10" ht="13.8">
      <c r="A27" s="30"/>
      <c r="B27" s="30"/>
      <c r="C27" s="10"/>
      <c r="D27" s="30"/>
      <c r="E27" s="30"/>
      <c r="F27" s="30"/>
      <c r="G27" s="30"/>
      <c r="H27" s="30"/>
      <c r="I27" s="30"/>
      <c r="J27" s="30"/>
    </row>
    <row r="28" spans="1:10" ht="13.8">
      <c r="A28" s="30"/>
      <c r="B28" s="30"/>
      <c r="C28" s="10"/>
      <c r="D28" s="30"/>
      <c r="E28" s="30"/>
      <c r="F28" s="30"/>
      <c r="G28" s="30"/>
      <c r="H28" s="30"/>
      <c r="I28" s="30"/>
      <c r="J28" s="30"/>
    </row>
    <row r="29" spans="1:10" ht="13.8">
      <c r="A29" s="30"/>
      <c r="B29" s="30"/>
      <c r="C29" s="10"/>
      <c r="D29" s="30"/>
      <c r="E29" s="30"/>
      <c r="F29" s="30"/>
      <c r="G29" s="30"/>
      <c r="H29" s="30"/>
      <c r="I29" s="30"/>
      <c r="J29" s="30"/>
    </row>
    <row r="30" spans="1:10" ht="13.8">
      <c r="A30" s="30"/>
      <c r="B30" s="30"/>
      <c r="C30" s="10"/>
      <c r="D30" s="30"/>
      <c r="E30" s="30"/>
      <c r="F30" s="30"/>
      <c r="G30" s="30"/>
      <c r="H30" s="30"/>
      <c r="I30" s="30"/>
      <c r="J30" s="30"/>
    </row>
    <row r="31" spans="1:10" ht="13.8">
      <c r="A31" s="30"/>
      <c r="B31" s="30"/>
      <c r="C31" s="10"/>
      <c r="D31" s="30"/>
      <c r="E31" s="30"/>
      <c r="F31" s="30"/>
      <c r="G31" s="30"/>
      <c r="H31" s="30"/>
      <c r="I31" s="30"/>
      <c r="J31" s="30"/>
    </row>
    <row r="32" spans="1:10" ht="13.8">
      <c r="A32" s="30"/>
      <c r="B32" s="30"/>
      <c r="C32" s="10"/>
      <c r="D32" s="30"/>
      <c r="E32" s="30"/>
      <c r="F32" s="30"/>
      <c r="G32" s="30"/>
      <c r="H32" s="30"/>
      <c r="I32" s="30"/>
      <c r="J32" s="30"/>
    </row>
    <row r="33" spans="1:10" ht="13.8">
      <c r="A33" s="30"/>
      <c r="B33" s="30"/>
      <c r="C33" s="10"/>
      <c r="D33" s="30"/>
      <c r="E33" s="30"/>
      <c r="F33" s="30"/>
      <c r="G33" s="30"/>
      <c r="H33" s="30"/>
      <c r="I33" s="30"/>
      <c r="J33" s="30"/>
    </row>
    <row r="34" spans="1:10" ht="13.8">
      <c r="A34" s="30"/>
      <c r="B34" s="30"/>
      <c r="C34" s="10"/>
      <c r="D34" s="30"/>
      <c r="E34" s="30"/>
      <c r="F34" s="30"/>
      <c r="G34" s="30"/>
      <c r="H34" s="30"/>
      <c r="I34" s="30"/>
      <c r="J34" s="30"/>
    </row>
    <row r="35" spans="1:10" ht="13.8">
      <c r="A35" s="30"/>
      <c r="B35" s="30"/>
      <c r="C35" s="10"/>
      <c r="D35" s="30"/>
      <c r="E35" s="30"/>
      <c r="F35" s="30"/>
      <c r="G35" s="30"/>
      <c r="H35" s="30"/>
      <c r="I35" s="30"/>
      <c r="J35" s="30"/>
    </row>
    <row r="36" spans="1:10" ht="13.8">
      <c r="A36" s="30"/>
      <c r="B36" s="30"/>
      <c r="C36" s="10"/>
      <c r="D36" s="30"/>
      <c r="E36" s="30"/>
      <c r="F36" s="30"/>
      <c r="G36" s="30"/>
      <c r="H36" s="30"/>
      <c r="I36" s="30"/>
      <c r="J36" s="30"/>
    </row>
    <row r="37" spans="1:10" ht="13.8">
      <c r="A37" s="30"/>
      <c r="B37" s="30"/>
      <c r="C37" s="10"/>
      <c r="D37" s="30"/>
      <c r="E37" s="30"/>
      <c r="F37" s="30"/>
      <c r="G37" s="30"/>
      <c r="H37" s="30"/>
      <c r="I37" s="30"/>
      <c r="J37" s="30"/>
    </row>
    <row r="38" spans="1:10" ht="13.8">
      <c r="A38" s="30"/>
      <c r="B38" s="30"/>
      <c r="C38" s="10"/>
      <c r="D38" s="30"/>
      <c r="E38" s="30"/>
      <c r="F38" s="30"/>
      <c r="G38" s="30"/>
      <c r="H38" s="30"/>
      <c r="I38" s="30"/>
      <c r="J38" s="30"/>
    </row>
    <row r="39" spans="1:10" ht="13.8">
      <c r="A39" s="30"/>
      <c r="B39" s="30"/>
      <c r="C39" s="10"/>
      <c r="D39" s="30"/>
      <c r="E39" s="30"/>
      <c r="F39" s="30"/>
      <c r="G39" s="30"/>
      <c r="H39" s="30"/>
      <c r="I39" s="30"/>
      <c r="J39" s="30"/>
    </row>
    <row r="40" spans="1:10" ht="13.8">
      <c r="A40" s="30"/>
      <c r="B40" s="30"/>
      <c r="C40" s="10"/>
      <c r="D40" s="30"/>
      <c r="E40" s="30"/>
      <c r="F40" s="30"/>
      <c r="G40" s="30"/>
      <c r="H40" s="30"/>
      <c r="I40" s="30"/>
      <c r="J40" s="30"/>
    </row>
    <row r="41" spans="1:10" ht="13.8">
      <c r="A41" s="30"/>
      <c r="B41" s="30"/>
      <c r="C41" s="10"/>
      <c r="D41" s="30"/>
      <c r="E41" s="30"/>
      <c r="F41" s="30"/>
      <c r="G41" s="30"/>
      <c r="H41" s="30"/>
      <c r="I41" s="30"/>
      <c r="J41" s="30"/>
    </row>
    <row r="42" spans="1:10" ht="13.8">
      <c r="A42" s="30"/>
      <c r="B42" s="30"/>
      <c r="C42" s="10"/>
      <c r="D42" s="30"/>
      <c r="E42" s="30"/>
      <c r="F42" s="30"/>
      <c r="G42" s="30"/>
      <c r="H42" s="30"/>
      <c r="I42" s="30"/>
      <c r="J42" s="30"/>
    </row>
    <row r="43" spans="1:10" ht="13.8">
      <c r="A43" s="30"/>
      <c r="B43" s="30"/>
      <c r="C43" s="10"/>
      <c r="D43" s="30"/>
      <c r="E43" s="30"/>
      <c r="F43" s="30"/>
      <c r="G43" s="30"/>
      <c r="H43" s="30"/>
      <c r="I43" s="30"/>
      <c r="J43" s="30"/>
    </row>
    <row r="44" spans="1:10" ht="13.8">
      <c r="A44" s="30"/>
      <c r="B44" s="30"/>
      <c r="C44" s="10"/>
      <c r="D44" s="30"/>
      <c r="E44" s="30"/>
      <c r="F44" s="30"/>
      <c r="G44" s="30"/>
      <c r="H44" s="30"/>
      <c r="I44" s="30"/>
      <c r="J44" s="30"/>
    </row>
    <row r="45" spans="1:10" ht="13.8">
      <c r="A45" s="30"/>
      <c r="B45" s="30"/>
      <c r="C45" s="10"/>
      <c r="D45" s="30"/>
      <c r="E45" s="30"/>
      <c r="F45" s="30"/>
      <c r="G45" s="30"/>
      <c r="H45" s="30"/>
      <c r="I45" s="30"/>
      <c r="J45" s="30"/>
    </row>
    <row r="46" spans="1:10" ht="13.8">
      <c r="A46" s="30"/>
      <c r="B46" s="30"/>
      <c r="C46" s="10"/>
      <c r="D46" s="30"/>
      <c r="E46" s="30"/>
      <c r="F46" s="30"/>
      <c r="G46" s="30"/>
      <c r="H46" s="30"/>
      <c r="I46" s="30"/>
      <c r="J46" s="30"/>
    </row>
    <row r="47" spans="1:10" ht="13.8">
      <c r="A47" s="30"/>
      <c r="B47" s="30"/>
      <c r="C47" s="10"/>
      <c r="D47" s="30"/>
      <c r="E47" s="30"/>
      <c r="F47" s="30"/>
      <c r="G47" s="30"/>
      <c r="H47" s="30"/>
      <c r="I47" s="30"/>
      <c r="J47" s="30"/>
    </row>
    <row r="48" spans="1:10" ht="13.8">
      <c r="A48" s="30"/>
      <c r="B48" s="30"/>
      <c r="C48" s="10"/>
      <c r="D48" s="30"/>
      <c r="E48" s="30"/>
      <c r="F48" s="30"/>
      <c r="G48" s="30"/>
      <c r="H48" s="30"/>
      <c r="I48" s="30"/>
      <c r="J48" s="30"/>
    </row>
    <row r="49" spans="1:10" ht="13.8">
      <c r="A49" s="30"/>
      <c r="B49" s="30"/>
      <c r="C49" s="10"/>
      <c r="D49" s="30"/>
      <c r="E49" s="30"/>
      <c r="F49" s="30"/>
      <c r="G49" s="30"/>
      <c r="H49" s="30"/>
      <c r="I49" s="30"/>
      <c r="J49" s="30"/>
    </row>
    <row r="50" spans="1:10" ht="13.8">
      <c r="A50" s="30"/>
      <c r="B50" s="30"/>
      <c r="C50" s="10"/>
      <c r="D50" s="30"/>
      <c r="E50" s="30"/>
      <c r="F50" s="30"/>
      <c r="G50" s="30"/>
      <c r="H50" s="30"/>
      <c r="I50" s="30"/>
      <c r="J50" s="30"/>
    </row>
    <row r="51" spans="1:10" ht="13.8">
      <c r="A51" s="30"/>
      <c r="B51" s="30"/>
      <c r="C51" s="10"/>
      <c r="D51" s="30"/>
      <c r="E51" s="30"/>
      <c r="F51" s="30"/>
      <c r="G51" s="30"/>
      <c r="H51" s="30"/>
      <c r="I51" s="30"/>
      <c r="J51" s="30"/>
    </row>
    <row r="52" spans="1:10" ht="13.8">
      <c r="A52" s="30"/>
      <c r="B52" s="30"/>
      <c r="C52" s="10"/>
      <c r="D52" s="30"/>
      <c r="E52" s="30"/>
      <c r="F52" s="30"/>
      <c r="G52" s="30"/>
      <c r="H52" s="30"/>
      <c r="I52" s="30"/>
      <c r="J52" s="30"/>
    </row>
    <row r="53" spans="1:10" ht="13.8">
      <c r="A53" s="30"/>
      <c r="B53" s="30"/>
      <c r="C53" s="10"/>
      <c r="D53" s="30"/>
      <c r="E53" s="30"/>
      <c r="F53" s="30"/>
      <c r="G53" s="30"/>
      <c r="H53" s="30"/>
      <c r="I53" s="30"/>
      <c r="J53" s="30"/>
    </row>
    <row r="54" spans="1:10" ht="13.8">
      <c r="A54" s="30"/>
      <c r="B54" s="30"/>
      <c r="C54" s="10"/>
      <c r="D54" s="30"/>
      <c r="E54" s="30"/>
      <c r="F54" s="30"/>
      <c r="G54" s="30"/>
      <c r="H54" s="30"/>
      <c r="I54" s="30"/>
      <c r="J54" s="30"/>
    </row>
    <row r="55" spans="1:10" ht="13.8">
      <c r="A55" s="30"/>
      <c r="B55" s="30"/>
      <c r="C55" s="10"/>
      <c r="D55" s="30"/>
      <c r="E55" s="30"/>
      <c r="F55" s="30"/>
      <c r="G55" s="30"/>
      <c r="H55" s="30"/>
      <c r="I55" s="30"/>
      <c r="J55" s="30"/>
    </row>
    <row r="56" spans="1:10" ht="13.8">
      <c r="A56" s="30"/>
      <c r="B56" s="30"/>
      <c r="C56" s="10"/>
      <c r="D56" s="30"/>
      <c r="E56" s="30"/>
      <c r="F56" s="30"/>
      <c r="G56" s="30"/>
      <c r="H56" s="30"/>
      <c r="I56" s="30"/>
      <c r="J56" s="30"/>
    </row>
    <row r="57" spans="1:10" ht="13.8">
      <c r="A57" s="30"/>
      <c r="B57" s="30"/>
      <c r="C57" s="10"/>
      <c r="D57" s="30"/>
      <c r="E57" s="30"/>
      <c r="F57" s="30"/>
      <c r="G57" s="30"/>
      <c r="H57" s="30"/>
      <c r="I57" s="30"/>
      <c r="J57" s="30"/>
    </row>
    <row r="58" spans="1:10" ht="13.8">
      <c r="A58" s="30"/>
      <c r="B58" s="30"/>
      <c r="C58" s="10"/>
      <c r="D58" s="30"/>
      <c r="E58" s="30"/>
      <c r="F58" s="30"/>
      <c r="G58" s="30"/>
      <c r="H58" s="30"/>
      <c r="I58" s="30"/>
      <c r="J58" s="30"/>
    </row>
    <row r="59" spans="1:10" ht="13.8">
      <c r="A59" s="30"/>
      <c r="B59" s="30"/>
      <c r="C59" s="10"/>
      <c r="D59" s="30"/>
      <c r="E59" s="30"/>
      <c r="F59" s="30"/>
      <c r="G59" s="30"/>
      <c r="H59" s="30"/>
      <c r="I59" s="30"/>
      <c r="J59" s="30"/>
    </row>
    <row r="60" spans="1:10" ht="13.8">
      <c r="A60" s="30"/>
      <c r="B60" s="30"/>
      <c r="C60" s="10"/>
      <c r="D60" s="30"/>
      <c r="E60" s="30"/>
      <c r="F60" s="30"/>
      <c r="G60" s="30"/>
      <c r="H60" s="30"/>
      <c r="I60" s="30"/>
      <c r="J60" s="30"/>
    </row>
    <row r="61" spans="1:10" ht="13.8">
      <c r="A61" s="30"/>
      <c r="B61" s="30"/>
      <c r="C61" s="10"/>
      <c r="D61" s="30"/>
      <c r="E61" s="30"/>
      <c r="F61" s="30"/>
      <c r="G61" s="30"/>
      <c r="H61" s="30"/>
      <c r="I61" s="30"/>
      <c r="J61" s="30"/>
    </row>
    <row r="62" spans="1:10" ht="13.8">
      <c r="A62" s="30"/>
      <c r="B62" s="30"/>
      <c r="C62" s="10"/>
      <c r="D62" s="30"/>
      <c r="E62" s="30"/>
      <c r="F62" s="30"/>
      <c r="G62" s="30"/>
      <c r="H62" s="30"/>
      <c r="I62" s="30"/>
      <c r="J62" s="30"/>
    </row>
    <row r="63" spans="1:10" ht="13.8">
      <c r="A63" s="30"/>
      <c r="B63" s="30"/>
      <c r="C63" s="10"/>
      <c r="D63" s="30"/>
      <c r="E63" s="30"/>
      <c r="F63" s="30"/>
      <c r="G63" s="30"/>
      <c r="H63" s="30"/>
      <c r="I63" s="30"/>
      <c r="J63" s="30"/>
    </row>
    <row r="64" spans="1:10" ht="13.8">
      <c r="A64" s="30"/>
      <c r="B64" s="30"/>
      <c r="C64" s="10"/>
      <c r="D64" s="30"/>
      <c r="E64" s="30"/>
      <c r="F64" s="30"/>
      <c r="G64" s="30"/>
      <c r="H64" s="30"/>
      <c r="I64" s="30"/>
      <c r="J64" s="30"/>
    </row>
    <row r="65" spans="1:10" ht="13.8">
      <c r="A65" s="30"/>
      <c r="B65" s="30"/>
      <c r="C65" s="10"/>
      <c r="D65" s="30"/>
      <c r="E65" s="30"/>
      <c r="F65" s="30"/>
      <c r="G65" s="30"/>
      <c r="H65" s="30"/>
      <c r="I65" s="30"/>
      <c r="J65" s="30"/>
    </row>
    <row r="66" spans="1:10" ht="13.8">
      <c r="A66" s="30"/>
      <c r="B66" s="30"/>
      <c r="C66" s="10"/>
      <c r="D66" s="30"/>
      <c r="E66" s="30"/>
      <c r="F66" s="30"/>
      <c r="G66" s="30"/>
      <c r="H66" s="30"/>
      <c r="I66" s="30"/>
      <c r="J66" s="30"/>
    </row>
    <row r="67" spans="1:10" ht="13.8">
      <c r="A67" s="30"/>
      <c r="B67" s="30"/>
      <c r="C67" s="10"/>
      <c r="D67" s="30"/>
      <c r="E67" s="30"/>
      <c r="F67" s="30"/>
      <c r="G67" s="30"/>
      <c r="H67" s="30"/>
      <c r="I67" s="30"/>
      <c r="J67" s="30"/>
    </row>
    <row r="68" spans="1:10" ht="13.8">
      <c r="A68" s="30"/>
      <c r="B68" s="30"/>
      <c r="C68" s="10"/>
      <c r="D68" s="30"/>
      <c r="E68" s="30"/>
      <c r="F68" s="30"/>
      <c r="G68" s="30"/>
      <c r="H68" s="30"/>
      <c r="I68" s="30"/>
      <c r="J68" s="30"/>
    </row>
    <row r="69" spans="1:10" ht="13.8">
      <c r="A69" s="30"/>
      <c r="B69" s="30"/>
      <c r="C69" s="10"/>
      <c r="D69" s="30"/>
      <c r="E69" s="30"/>
      <c r="F69" s="30"/>
      <c r="G69" s="30"/>
      <c r="H69" s="30"/>
      <c r="I69" s="30"/>
      <c r="J69" s="30"/>
    </row>
    <row r="70" spans="1:10" ht="13.8">
      <c r="A70" s="30"/>
      <c r="B70" s="30"/>
      <c r="C70" s="10"/>
      <c r="D70" s="30"/>
      <c r="E70" s="30"/>
      <c r="F70" s="30"/>
      <c r="G70" s="30"/>
      <c r="H70" s="30"/>
      <c r="I70" s="30"/>
      <c r="J70" s="30"/>
    </row>
    <row r="71" spans="1:10" ht="13.8">
      <c r="A71" s="30"/>
      <c r="B71" s="30"/>
      <c r="C71" s="10"/>
      <c r="D71" s="30"/>
      <c r="E71" s="30"/>
      <c r="F71" s="30"/>
      <c r="G71" s="30"/>
      <c r="H71" s="30"/>
      <c r="I71" s="30"/>
      <c r="J71" s="30"/>
    </row>
    <row r="72" spans="1:10" ht="13.8">
      <c r="A72" s="30"/>
      <c r="B72" s="30"/>
      <c r="C72" s="10"/>
      <c r="D72" s="30"/>
      <c r="E72" s="30"/>
      <c r="F72" s="30"/>
      <c r="G72" s="30"/>
      <c r="H72" s="30"/>
      <c r="I72" s="30"/>
      <c r="J72" s="30"/>
    </row>
    <row r="73" spans="1:10" ht="13.8">
      <c r="A73" s="30"/>
      <c r="B73" s="30"/>
      <c r="C73" s="10"/>
      <c r="D73" s="30"/>
      <c r="E73" s="30"/>
      <c r="F73" s="30"/>
      <c r="G73" s="30"/>
      <c r="H73" s="30"/>
      <c r="I73" s="30"/>
      <c r="J73" s="30"/>
    </row>
    <row r="74" spans="1:10" ht="13.8">
      <c r="A74" s="30"/>
      <c r="B74" s="30"/>
      <c r="C74" s="10"/>
      <c r="D74" s="30"/>
      <c r="E74" s="30"/>
      <c r="F74" s="30"/>
      <c r="G74" s="30"/>
      <c r="H74" s="30"/>
      <c r="I74" s="30"/>
      <c r="J74" s="30"/>
    </row>
    <row r="75" spans="1:10" ht="13.8">
      <c r="A75" s="30"/>
      <c r="B75" s="30"/>
      <c r="C75" s="10"/>
      <c r="D75" s="30"/>
      <c r="E75" s="30"/>
      <c r="F75" s="30"/>
      <c r="G75" s="30"/>
      <c r="H75" s="30"/>
      <c r="I75" s="30"/>
      <c r="J75" s="30"/>
    </row>
    <row r="76" spans="1:10" ht="13.8">
      <c r="A76" s="30"/>
      <c r="B76" s="30"/>
      <c r="C76" s="10"/>
      <c r="D76" s="30"/>
      <c r="E76" s="30"/>
      <c r="F76" s="30"/>
      <c r="G76" s="30"/>
      <c r="H76" s="30"/>
      <c r="I76" s="30"/>
      <c r="J76" s="30"/>
    </row>
    <row r="77" spans="1:10" ht="13.8">
      <c r="A77" s="30"/>
      <c r="B77" s="30"/>
      <c r="C77" s="10"/>
      <c r="D77" s="30"/>
      <c r="E77" s="30"/>
      <c r="F77" s="30"/>
      <c r="G77" s="30"/>
      <c r="H77" s="30"/>
      <c r="I77" s="30"/>
      <c r="J77" s="30"/>
    </row>
    <row r="78" spans="1:10" ht="13.8">
      <c r="A78" s="30"/>
      <c r="B78" s="30"/>
      <c r="C78" s="10"/>
      <c r="D78" s="30"/>
      <c r="E78" s="30"/>
      <c r="F78" s="30"/>
      <c r="G78" s="30"/>
      <c r="H78" s="30"/>
      <c r="I78" s="30"/>
      <c r="J78" s="30"/>
    </row>
    <row r="79" spans="1:10" ht="13.8">
      <c r="A79" s="30"/>
      <c r="B79" s="30"/>
      <c r="C79" s="10"/>
      <c r="D79" s="30"/>
      <c r="E79" s="30"/>
      <c r="F79" s="30"/>
      <c r="G79" s="30"/>
      <c r="H79" s="30"/>
      <c r="I79" s="30"/>
      <c r="J79" s="30"/>
    </row>
    <row r="80" spans="1:10" ht="13.8">
      <c r="A80" s="30"/>
      <c r="B80" s="30"/>
      <c r="C80" s="10"/>
      <c r="D80" s="30"/>
      <c r="E80" s="30"/>
      <c r="F80" s="30"/>
      <c r="G80" s="30"/>
      <c r="H80" s="30"/>
      <c r="I80" s="30"/>
      <c r="J80" s="30"/>
    </row>
    <row r="81" spans="1:10" ht="13.8">
      <c r="A81" s="30"/>
      <c r="B81" s="30"/>
      <c r="C81" s="10"/>
      <c r="D81" s="30"/>
      <c r="E81" s="30"/>
      <c r="F81" s="30"/>
      <c r="G81" s="30"/>
      <c r="H81" s="30"/>
      <c r="I81" s="30"/>
      <c r="J81" s="30"/>
    </row>
    <row r="82" spans="1:10" ht="13.8">
      <c r="A82" s="30"/>
      <c r="B82" s="30"/>
      <c r="C82" s="10"/>
      <c r="D82" s="30"/>
      <c r="E82" s="30"/>
      <c r="F82" s="30"/>
      <c r="G82" s="30"/>
      <c r="H82" s="30"/>
      <c r="I82" s="30"/>
      <c r="J82" s="30"/>
    </row>
    <row r="83" spans="1:10" ht="13.8">
      <c r="A83" s="30"/>
      <c r="B83" s="30"/>
      <c r="C83" s="10"/>
      <c r="D83" s="30"/>
      <c r="E83" s="30"/>
      <c r="F83" s="30"/>
      <c r="G83" s="30"/>
      <c r="H83" s="30"/>
      <c r="I83" s="30"/>
      <c r="J83" s="30"/>
    </row>
    <row r="84" spans="1:10" ht="13.8">
      <c r="A84" s="30"/>
      <c r="B84" s="30"/>
      <c r="C84" s="10"/>
      <c r="D84" s="30"/>
      <c r="E84" s="30"/>
      <c r="F84" s="30"/>
      <c r="G84" s="30"/>
      <c r="H84" s="30"/>
      <c r="I84" s="30"/>
      <c r="J84" s="30"/>
    </row>
    <row r="85" spans="1:10" ht="13.8">
      <c r="A85" s="30"/>
      <c r="B85" s="30"/>
      <c r="C85" s="10"/>
      <c r="D85" s="30"/>
      <c r="E85" s="30"/>
      <c r="F85" s="30"/>
      <c r="G85" s="30"/>
      <c r="H85" s="30"/>
      <c r="I85" s="30"/>
      <c r="J85" s="30"/>
    </row>
    <row r="86" spans="1:10" ht="13.8">
      <c r="A86" s="30"/>
      <c r="B86" s="30"/>
      <c r="C86" s="10"/>
      <c r="D86" s="30"/>
      <c r="E86" s="30"/>
      <c r="F86" s="30"/>
      <c r="G86" s="30"/>
      <c r="H86" s="30"/>
      <c r="I86" s="30"/>
      <c r="J86" s="30"/>
    </row>
    <row r="87" spans="1:10" ht="13.8">
      <c r="A87" s="30"/>
      <c r="B87" s="30"/>
      <c r="C87" s="10"/>
      <c r="D87" s="30"/>
      <c r="E87" s="30"/>
      <c r="F87" s="30"/>
      <c r="G87" s="30"/>
      <c r="H87" s="30"/>
      <c r="I87" s="30"/>
      <c r="J87" s="30"/>
    </row>
    <row r="88" spans="1:10" ht="13.8">
      <c r="A88" s="30"/>
      <c r="B88" s="30"/>
      <c r="C88" s="10"/>
      <c r="D88" s="30"/>
      <c r="E88" s="30"/>
      <c r="F88" s="30"/>
      <c r="G88" s="30"/>
      <c r="H88" s="30"/>
      <c r="I88" s="30"/>
      <c r="J88" s="30"/>
    </row>
    <row r="89" spans="1:10" ht="13.8">
      <c r="A89" s="30"/>
      <c r="B89" s="30"/>
      <c r="C89" s="10"/>
      <c r="D89" s="30"/>
      <c r="E89" s="30"/>
      <c r="F89" s="30"/>
      <c r="G89" s="30"/>
      <c r="H89" s="30"/>
      <c r="I89" s="30"/>
      <c r="J89" s="30"/>
    </row>
    <row r="90" spans="1:10" ht="13.8">
      <c r="A90" s="30"/>
      <c r="B90" s="30"/>
      <c r="C90" s="10"/>
      <c r="D90" s="30"/>
      <c r="E90" s="30"/>
      <c r="F90" s="30"/>
      <c r="G90" s="30"/>
      <c r="H90" s="30"/>
      <c r="I90" s="30"/>
      <c r="J90" s="30"/>
    </row>
    <row r="91" spans="1:10" ht="13.8">
      <c r="A91" s="30"/>
      <c r="B91" s="30"/>
      <c r="C91" s="10"/>
      <c r="D91" s="30"/>
      <c r="E91" s="30"/>
      <c r="F91" s="30"/>
      <c r="G91" s="30"/>
      <c r="H91" s="30"/>
      <c r="I91" s="30"/>
      <c r="J91" s="30"/>
    </row>
    <row r="92" spans="1:10" ht="13.8">
      <c r="A92" s="30"/>
      <c r="B92" s="30"/>
      <c r="C92" s="10"/>
      <c r="D92" s="30"/>
      <c r="E92" s="30"/>
      <c r="F92" s="30"/>
      <c r="G92" s="30"/>
      <c r="H92" s="30"/>
      <c r="I92" s="30"/>
      <c r="J92" s="30"/>
    </row>
    <row r="93" spans="1:10" ht="13.8">
      <c r="A93" s="30"/>
      <c r="B93" s="30"/>
      <c r="C93" s="10"/>
      <c r="D93" s="30"/>
      <c r="E93" s="30"/>
      <c r="F93" s="30"/>
      <c r="G93" s="30"/>
      <c r="H93" s="30"/>
      <c r="I93" s="30"/>
      <c r="J93" s="30"/>
    </row>
    <row r="94" spans="1:10" ht="13.8">
      <c r="A94" s="30"/>
      <c r="B94" s="30"/>
      <c r="C94" s="10"/>
      <c r="D94" s="30"/>
      <c r="E94" s="30"/>
      <c r="F94" s="30"/>
      <c r="G94" s="30"/>
      <c r="H94" s="30"/>
      <c r="I94" s="30"/>
      <c r="J94" s="30"/>
    </row>
    <row r="95" spans="1:10" ht="13.8">
      <c r="A95" s="30"/>
      <c r="B95" s="30"/>
      <c r="C95" s="10"/>
      <c r="D95" s="30"/>
      <c r="E95" s="30"/>
      <c r="F95" s="30"/>
      <c r="G95" s="30"/>
      <c r="H95" s="30"/>
      <c r="I95" s="30"/>
      <c r="J95" s="30"/>
    </row>
    <row r="96" spans="1:10" ht="13.8">
      <c r="A96" s="30"/>
      <c r="B96" s="30"/>
      <c r="C96" s="10"/>
      <c r="D96" s="30"/>
      <c r="E96" s="30"/>
      <c r="F96" s="30"/>
      <c r="G96" s="30"/>
      <c r="H96" s="30"/>
      <c r="I96" s="30"/>
      <c r="J96" s="30"/>
    </row>
    <row r="97" spans="1:10" ht="13.8">
      <c r="A97" s="30"/>
      <c r="B97" s="30"/>
      <c r="C97" s="10"/>
      <c r="D97" s="30"/>
      <c r="E97" s="30"/>
      <c r="F97" s="30"/>
      <c r="G97" s="30"/>
      <c r="H97" s="30"/>
      <c r="I97" s="30"/>
      <c r="J97" s="30"/>
    </row>
    <row r="98" spans="1:10" ht="13.8">
      <c r="A98" s="30"/>
      <c r="B98" s="30"/>
      <c r="C98" s="10"/>
      <c r="D98" s="30"/>
      <c r="E98" s="30"/>
      <c r="F98" s="30"/>
      <c r="G98" s="30"/>
      <c r="H98" s="30"/>
      <c r="I98" s="30"/>
      <c r="J98" s="30"/>
    </row>
    <row r="99" spans="1:10" ht="13.8">
      <c r="A99" s="30"/>
      <c r="B99" s="30"/>
      <c r="C99" s="10"/>
      <c r="D99" s="30"/>
      <c r="E99" s="30"/>
      <c r="F99" s="30"/>
      <c r="G99" s="30"/>
      <c r="H99" s="30"/>
      <c r="I99" s="30"/>
      <c r="J99" s="30"/>
    </row>
    <row r="100" spans="1:10" ht="13.8">
      <c r="A100" s="30"/>
      <c r="B100" s="30"/>
      <c r="C100" s="10"/>
      <c r="D100" s="30"/>
      <c r="E100" s="30"/>
      <c r="F100" s="30"/>
      <c r="G100" s="30"/>
      <c r="H100" s="30"/>
      <c r="I100" s="30"/>
      <c r="J100" s="30"/>
    </row>
    <row r="101" spans="1:10" ht="13.8">
      <c r="A101" s="30"/>
      <c r="B101" s="30"/>
      <c r="C101" s="10"/>
      <c r="D101" s="30"/>
      <c r="E101" s="30"/>
      <c r="F101" s="30"/>
      <c r="G101" s="30"/>
      <c r="H101" s="30"/>
      <c r="I101" s="30"/>
      <c r="J101" s="30"/>
    </row>
    <row r="102" spans="1:10" ht="13.8">
      <c r="A102" s="30"/>
      <c r="B102" s="30"/>
      <c r="C102" s="10"/>
      <c r="D102" s="30"/>
      <c r="E102" s="30"/>
      <c r="F102" s="30"/>
      <c r="G102" s="30"/>
      <c r="H102" s="30"/>
      <c r="I102" s="30"/>
      <c r="J102" s="30"/>
    </row>
    <row r="103" spans="1:10" ht="13.8">
      <c r="A103" s="30"/>
      <c r="B103" s="30"/>
      <c r="C103" s="10"/>
      <c r="D103" s="30"/>
      <c r="E103" s="30"/>
      <c r="F103" s="30"/>
      <c r="G103" s="30"/>
      <c r="H103" s="30"/>
      <c r="I103" s="30"/>
      <c r="J103" s="30"/>
    </row>
    <row r="104" spans="1:10" ht="13.8">
      <c r="A104" s="30"/>
      <c r="B104" s="30"/>
      <c r="C104" s="10"/>
      <c r="D104" s="30"/>
      <c r="E104" s="30"/>
      <c r="F104" s="30"/>
      <c r="G104" s="30"/>
      <c r="H104" s="30"/>
      <c r="I104" s="30"/>
      <c r="J104" s="30"/>
    </row>
    <row r="105" spans="1:10" ht="13.8">
      <c r="A105" s="30"/>
      <c r="B105" s="30"/>
      <c r="C105" s="10"/>
      <c r="D105" s="30"/>
      <c r="E105" s="30"/>
      <c r="F105" s="30"/>
      <c r="G105" s="30"/>
      <c r="H105" s="30"/>
      <c r="I105" s="30"/>
      <c r="J105" s="30"/>
    </row>
    <row r="106" spans="1:10" ht="13.8">
      <c r="A106" s="30"/>
      <c r="B106" s="30"/>
      <c r="C106" s="10"/>
      <c r="D106" s="30"/>
      <c r="E106" s="30"/>
      <c r="F106" s="30"/>
      <c r="G106" s="30"/>
      <c r="H106" s="30"/>
      <c r="I106" s="30"/>
      <c r="J106" s="30"/>
    </row>
    <row r="107" spans="1:10" ht="13.8">
      <c r="A107" s="30"/>
      <c r="B107" s="30"/>
      <c r="C107" s="10"/>
      <c r="D107" s="30"/>
      <c r="E107" s="30"/>
      <c r="F107" s="30"/>
      <c r="G107" s="30"/>
      <c r="H107" s="30"/>
      <c r="I107" s="30"/>
      <c r="J107" s="30"/>
    </row>
    <row r="108" spans="1:10" ht="13.8">
      <c r="A108" s="30"/>
      <c r="B108" s="30"/>
      <c r="C108" s="10"/>
      <c r="D108" s="30"/>
      <c r="E108" s="30"/>
      <c r="F108" s="30"/>
      <c r="G108" s="30"/>
      <c r="H108" s="30"/>
      <c r="I108" s="30"/>
      <c r="J108" s="30"/>
    </row>
    <row r="109" spans="1:10" ht="13.8">
      <c r="A109" s="30"/>
      <c r="B109" s="30"/>
      <c r="C109" s="10"/>
      <c r="D109" s="30"/>
      <c r="E109" s="30"/>
      <c r="F109" s="30"/>
      <c r="G109" s="30"/>
      <c r="H109" s="30"/>
      <c r="I109" s="30"/>
      <c r="J109" s="30"/>
    </row>
    <row r="110" spans="1:10" ht="13.8">
      <c r="A110" s="30"/>
      <c r="B110" s="30"/>
      <c r="C110" s="10"/>
      <c r="D110" s="30"/>
      <c r="E110" s="30"/>
      <c r="F110" s="30"/>
      <c r="G110" s="30"/>
      <c r="H110" s="30"/>
      <c r="I110" s="30"/>
      <c r="J110" s="30"/>
    </row>
    <row r="111" spans="1:10" ht="13.8">
      <c r="A111" s="30"/>
      <c r="B111" s="30"/>
      <c r="C111" s="10"/>
      <c r="D111" s="30"/>
      <c r="E111" s="30"/>
      <c r="F111" s="30"/>
      <c r="G111" s="30"/>
      <c r="H111" s="30"/>
      <c r="I111" s="30"/>
      <c r="J111" s="30"/>
    </row>
    <row r="112" spans="1:10" ht="13.8">
      <c r="A112" s="30"/>
      <c r="B112" s="30"/>
      <c r="C112" s="10"/>
      <c r="D112" s="30"/>
      <c r="E112" s="30"/>
      <c r="F112" s="30"/>
      <c r="G112" s="30"/>
      <c r="H112" s="30"/>
      <c r="I112" s="30"/>
      <c r="J112" s="30"/>
    </row>
    <row r="113" spans="1:10" ht="13.8">
      <c r="A113" s="30"/>
      <c r="B113" s="30"/>
      <c r="C113" s="10"/>
      <c r="D113" s="30"/>
      <c r="E113" s="30"/>
      <c r="F113" s="30"/>
      <c r="G113" s="30"/>
      <c r="H113" s="30"/>
      <c r="I113" s="30"/>
      <c r="J113" s="30"/>
    </row>
    <row r="114" spans="1:10" ht="13.8">
      <c r="A114" s="30"/>
      <c r="B114" s="30"/>
      <c r="C114" s="10"/>
      <c r="D114" s="30"/>
      <c r="E114" s="30"/>
      <c r="F114" s="30"/>
      <c r="G114" s="30"/>
      <c r="H114" s="30"/>
      <c r="I114" s="30"/>
      <c r="J114" s="30"/>
    </row>
    <row r="115" spans="1:10" ht="13.8">
      <c r="A115" s="30"/>
      <c r="B115" s="30"/>
      <c r="C115" s="10"/>
      <c r="D115" s="30"/>
      <c r="E115" s="30"/>
      <c r="F115" s="30"/>
      <c r="G115" s="30"/>
      <c r="H115" s="30"/>
      <c r="I115" s="30"/>
      <c r="J115" s="30"/>
    </row>
    <row r="116" spans="1:10" ht="13.8">
      <c r="A116" s="30"/>
      <c r="B116" s="30"/>
      <c r="C116" s="10"/>
      <c r="D116" s="30"/>
      <c r="E116" s="30"/>
      <c r="F116" s="30"/>
      <c r="G116" s="30"/>
      <c r="H116" s="30"/>
      <c r="I116" s="30"/>
      <c r="J116" s="30"/>
    </row>
    <row r="117" spans="1:10" ht="13.8">
      <c r="A117" s="30"/>
      <c r="B117" s="30"/>
      <c r="C117" s="10"/>
      <c r="D117" s="30"/>
      <c r="E117" s="30"/>
      <c r="F117" s="30"/>
      <c r="G117" s="30"/>
      <c r="H117" s="30"/>
      <c r="I117" s="30"/>
      <c r="J117" s="30"/>
    </row>
    <row r="118" spans="1:10" ht="13.8">
      <c r="A118" s="30"/>
      <c r="B118" s="30"/>
      <c r="C118" s="10"/>
      <c r="D118" s="30"/>
      <c r="E118" s="30"/>
      <c r="F118" s="30"/>
      <c r="G118" s="30"/>
      <c r="H118" s="30"/>
      <c r="I118" s="30"/>
      <c r="J118" s="30"/>
    </row>
    <row r="119" spans="1:10" ht="13.8">
      <c r="A119" s="30"/>
      <c r="B119" s="30"/>
      <c r="C119" s="10"/>
      <c r="D119" s="30"/>
      <c r="E119" s="30"/>
      <c r="F119" s="30"/>
      <c r="G119" s="30"/>
      <c r="H119" s="30"/>
      <c r="I119" s="30"/>
      <c r="J119" s="30"/>
    </row>
    <row r="120" spans="1:10" ht="13.8">
      <c r="A120" s="30"/>
      <c r="B120" s="30"/>
      <c r="C120" s="10"/>
      <c r="D120" s="30"/>
      <c r="E120" s="30"/>
      <c r="F120" s="30"/>
      <c r="G120" s="30"/>
      <c r="H120" s="30"/>
      <c r="I120" s="30"/>
      <c r="J120" s="30"/>
    </row>
    <row r="121" spans="1:10" ht="13.8">
      <c r="A121" s="30"/>
      <c r="B121" s="30"/>
      <c r="C121" s="10"/>
      <c r="D121" s="30"/>
      <c r="E121" s="30"/>
      <c r="F121" s="30"/>
      <c r="G121" s="30"/>
      <c r="H121" s="30"/>
      <c r="I121" s="30"/>
      <c r="J121" s="30"/>
    </row>
    <row r="122" spans="1:10" ht="13.8">
      <c r="A122" s="30"/>
      <c r="B122" s="30"/>
      <c r="C122" s="10"/>
      <c r="D122" s="30"/>
      <c r="E122" s="30"/>
      <c r="F122" s="30"/>
      <c r="G122" s="30"/>
      <c r="H122" s="30"/>
      <c r="I122" s="30"/>
      <c r="J122" s="30"/>
    </row>
    <row r="123" spans="1:10" ht="13.8">
      <c r="A123" s="30"/>
      <c r="B123" s="30"/>
      <c r="C123" s="10"/>
      <c r="D123" s="30"/>
      <c r="E123" s="30"/>
      <c r="F123" s="30"/>
      <c r="G123" s="30"/>
      <c r="H123" s="30"/>
      <c r="I123" s="30"/>
      <c r="J123" s="30"/>
    </row>
    <row r="124" spans="1:10" ht="13.8">
      <c r="A124" s="30"/>
      <c r="B124" s="30"/>
      <c r="C124" s="10"/>
      <c r="D124" s="30"/>
      <c r="E124" s="30"/>
      <c r="F124" s="30"/>
      <c r="G124" s="30"/>
      <c r="H124" s="30"/>
      <c r="I124" s="30"/>
      <c r="J124" s="30"/>
    </row>
    <row r="125" spans="1:10" ht="13.8">
      <c r="A125" s="30"/>
      <c r="B125" s="30"/>
      <c r="C125" s="10"/>
      <c r="D125" s="30"/>
      <c r="E125" s="30"/>
      <c r="F125" s="30"/>
      <c r="G125" s="30"/>
      <c r="H125" s="30"/>
      <c r="I125" s="30"/>
      <c r="J125" s="30"/>
    </row>
    <row r="126" spans="1:10" ht="13.8">
      <c r="A126" s="30"/>
      <c r="B126" s="30"/>
      <c r="C126" s="10"/>
      <c r="D126" s="30"/>
      <c r="E126" s="30"/>
      <c r="F126" s="30"/>
      <c r="G126" s="30"/>
      <c r="H126" s="30"/>
      <c r="I126" s="30"/>
      <c r="J126" s="30"/>
    </row>
    <row r="127" spans="1:10" ht="13.8">
      <c r="A127" s="30"/>
      <c r="B127" s="30"/>
      <c r="C127" s="10"/>
      <c r="D127" s="30"/>
      <c r="E127" s="30"/>
      <c r="F127" s="30"/>
      <c r="G127" s="30"/>
      <c r="H127" s="30"/>
      <c r="I127" s="30"/>
      <c r="J127" s="30"/>
    </row>
    <row r="128" spans="1:10" ht="13.8">
      <c r="A128" s="30"/>
      <c r="B128" s="30"/>
      <c r="C128" s="10"/>
      <c r="D128" s="30"/>
      <c r="E128" s="30"/>
      <c r="F128" s="30"/>
      <c r="G128" s="30"/>
      <c r="H128" s="30"/>
      <c r="I128" s="30"/>
      <c r="J128" s="30"/>
    </row>
    <row r="129" spans="1:10" ht="13.8">
      <c r="A129" s="30"/>
      <c r="B129" s="30"/>
      <c r="C129" s="10"/>
      <c r="D129" s="30"/>
      <c r="E129" s="30"/>
      <c r="F129" s="30"/>
      <c r="G129" s="30"/>
      <c r="H129" s="30"/>
      <c r="I129" s="30"/>
      <c r="J129" s="30"/>
    </row>
    <row r="130" spans="1:10" ht="13.8">
      <c r="A130" s="30"/>
      <c r="B130" s="30"/>
      <c r="C130" s="10"/>
      <c r="D130" s="30"/>
      <c r="E130" s="30"/>
      <c r="F130" s="30"/>
      <c r="G130" s="30"/>
      <c r="H130" s="30"/>
      <c r="I130" s="30"/>
      <c r="J130" s="30"/>
    </row>
    <row r="131" spans="1:10" ht="13.8">
      <c r="A131" s="30"/>
      <c r="B131" s="30"/>
      <c r="C131" s="10"/>
      <c r="D131" s="30"/>
      <c r="E131" s="30"/>
      <c r="F131" s="30"/>
      <c r="G131" s="30"/>
      <c r="H131" s="30"/>
      <c r="I131" s="30"/>
      <c r="J131" s="30"/>
    </row>
    <row r="132" spans="1:10" ht="13.8">
      <c r="A132" s="30"/>
      <c r="B132" s="30"/>
      <c r="C132" s="10"/>
      <c r="D132" s="30"/>
      <c r="E132" s="30"/>
      <c r="F132" s="30"/>
      <c r="G132" s="30"/>
      <c r="H132" s="30"/>
      <c r="I132" s="30"/>
      <c r="J132" s="30"/>
    </row>
    <row r="133" spans="1:10" ht="13.8">
      <c r="A133" s="30"/>
      <c r="B133" s="30"/>
      <c r="C133" s="10"/>
      <c r="D133" s="30"/>
      <c r="E133" s="30"/>
      <c r="F133" s="30"/>
      <c r="G133" s="30"/>
      <c r="H133" s="30"/>
      <c r="I133" s="30"/>
      <c r="J133" s="30"/>
    </row>
    <row r="134" spans="1:10" ht="13.8">
      <c r="A134" s="30"/>
      <c r="B134" s="30"/>
      <c r="C134" s="10"/>
      <c r="D134" s="30"/>
      <c r="E134" s="30"/>
      <c r="F134" s="30"/>
      <c r="G134" s="30"/>
      <c r="H134" s="30"/>
      <c r="I134" s="30"/>
      <c r="J134" s="30"/>
    </row>
    <row r="135" spans="1:10" ht="13.8">
      <c r="A135" s="30"/>
      <c r="B135" s="30"/>
      <c r="C135" s="10"/>
      <c r="D135" s="30"/>
      <c r="E135" s="30"/>
      <c r="F135" s="30"/>
      <c r="G135" s="30"/>
      <c r="H135" s="30"/>
      <c r="I135" s="30"/>
      <c r="J135" s="30"/>
    </row>
    <row r="136" spans="1:10" ht="13.8">
      <c r="A136" s="30"/>
      <c r="B136" s="30"/>
      <c r="C136" s="10"/>
      <c r="D136" s="30"/>
      <c r="E136" s="30"/>
      <c r="F136" s="30"/>
      <c r="G136" s="30"/>
      <c r="H136" s="30"/>
      <c r="I136" s="30"/>
      <c r="J136" s="30"/>
    </row>
    <row r="137" spans="1:10" ht="13.8">
      <c r="A137" s="30"/>
      <c r="B137" s="30"/>
      <c r="C137" s="10"/>
      <c r="D137" s="30"/>
      <c r="E137" s="30"/>
      <c r="F137" s="30"/>
      <c r="G137" s="30"/>
      <c r="H137" s="30"/>
      <c r="I137" s="30"/>
      <c r="J137" s="30"/>
    </row>
    <row r="138" spans="1:10" ht="13.8">
      <c r="A138" s="30"/>
      <c r="B138" s="30"/>
      <c r="C138" s="10"/>
      <c r="D138" s="30"/>
      <c r="E138" s="30"/>
      <c r="F138" s="30"/>
      <c r="G138" s="30"/>
      <c r="H138" s="30"/>
      <c r="I138" s="30"/>
      <c r="J138" s="30"/>
    </row>
    <row r="139" spans="1:10" ht="13.8">
      <c r="A139" s="30"/>
      <c r="B139" s="30"/>
      <c r="C139" s="10"/>
      <c r="D139" s="30"/>
      <c r="E139" s="30"/>
      <c r="F139" s="30"/>
      <c r="G139" s="30"/>
      <c r="H139" s="30"/>
      <c r="I139" s="30"/>
      <c r="J139" s="30"/>
    </row>
    <row r="140" spans="1:10" ht="13.8">
      <c r="A140" s="30"/>
      <c r="B140" s="30"/>
      <c r="C140" s="10"/>
      <c r="D140" s="30"/>
      <c r="E140" s="30"/>
      <c r="F140" s="30"/>
      <c r="G140" s="30"/>
      <c r="H140" s="30"/>
      <c r="I140" s="30"/>
      <c r="J140" s="30"/>
    </row>
    <row r="141" spans="1:10" ht="13.8">
      <c r="A141" s="30"/>
      <c r="B141" s="30"/>
      <c r="C141" s="10"/>
      <c r="D141" s="30"/>
      <c r="E141" s="30"/>
      <c r="F141" s="30"/>
      <c r="G141" s="30"/>
      <c r="H141" s="30"/>
      <c r="I141" s="30"/>
      <c r="J141" s="30"/>
    </row>
    <row r="142" spans="1:10" ht="13.8">
      <c r="A142" s="30"/>
      <c r="B142" s="30"/>
      <c r="C142" s="10"/>
      <c r="D142" s="30"/>
      <c r="E142" s="30"/>
      <c r="F142" s="30"/>
      <c r="G142" s="30"/>
      <c r="H142" s="30"/>
      <c r="I142" s="30"/>
      <c r="J142" s="30"/>
    </row>
    <row r="143" spans="1:10" ht="13.8">
      <c r="A143" s="30"/>
      <c r="B143" s="30"/>
      <c r="C143" s="10"/>
      <c r="D143" s="30"/>
      <c r="E143" s="30"/>
      <c r="F143" s="30"/>
      <c r="G143" s="30"/>
      <c r="H143" s="30"/>
      <c r="I143" s="30"/>
      <c r="J143" s="30"/>
    </row>
    <row r="144" spans="1:10" ht="13.8">
      <c r="A144" s="30"/>
      <c r="B144" s="30"/>
      <c r="C144" s="10"/>
      <c r="D144" s="30"/>
      <c r="E144" s="30"/>
      <c r="F144" s="30"/>
      <c r="G144" s="30"/>
      <c r="H144" s="30"/>
      <c r="I144" s="30"/>
      <c r="J144" s="30"/>
    </row>
    <row r="145" spans="1:10" ht="13.8">
      <c r="A145" s="30"/>
      <c r="B145" s="30"/>
      <c r="C145" s="10"/>
      <c r="D145" s="30"/>
      <c r="E145" s="30"/>
      <c r="F145" s="30"/>
      <c r="G145" s="30"/>
      <c r="H145" s="30"/>
      <c r="I145" s="30"/>
      <c r="J145" s="30"/>
    </row>
    <row r="146" spans="1:10" ht="13.8">
      <c r="A146" s="30"/>
      <c r="B146" s="30"/>
      <c r="C146" s="10"/>
      <c r="D146" s="30"/>
      <c r="E146" s="30"/>
      <c r="F146" s="30"/>
      <c r="G146" s="30"/>
      <c r="H146" s="30"/>
      <c r="I146" s="30"/>
      <c r="J146" s="30"/>
    </row>
    <row r="147" spans="1:10" ht="13.8">
      <c r="A147" s="30"/>
      <c r="B147" s="30"/>
      <c r="C147" s="10"/>
      <c r="D147" s="30"/>
      <c r="E147" s="30"/>
      <c r="F147" s="30"/>
      <c r="G147" s="30"/>
      <c r="H147" s="30"/>
      <c r="I147" s="30"/>
      <c r="J147" s="30"/>
    </row>
    <row r="148" spans="1:10" ht="13.8">
      <c r="A148" s="30"/>
      <c r="B148" s="30"/>
      <c r="C148" s="10"/>
      <c r="D148" s="30"/>
      <c r="E148" s="30"/>
      <c r="F148" s="30"/>
      <c r="G148" s="30"/>
      <c r="H148" s="30"/>
      <c r="I148" s="30"/>
      <c r="J148" s="30"/>
    </row>
    <row r="149" spans="1:10" ht="13.8">
      <c r="A149" s="30"/>
      <c r="B149" s="30"/>
      <c r="C149" s="10"/>
      <c r="D149" s="30"/>
      <c r="E149" s="30"/>
      <c r="F149" s="30"/>
      <c r="G149" s="30"/>
      <c r="H149" s="30"/>
      <c r="I149" s="30"/>
      <c r="J149" s="30"/>
    </row>
    <row r="150" spans="1:10" ht="13.8">
      <c r="A150" s="30"/>
      <c r="B150" s="30"/>
      <c r="C150" s="10"/>
      <c r="D150" s="30"/>
      <c r="E150" s="30"/>
      <c r="F150" s="30"/>
      <c r="G150" s="30"/>
      <c r="H150" s="30"/>
      <c r="I150" s="30"/>
      <c r="J150" s="30"/>
    </row>
    <row r="151" spans="1:10" ht="13.8">
      <c r="A151" s="30"/>
      <c r="B151" s="30"/>
      <c r="C151" s="10"/>
      <c r="D151" s="30"/>
      <c r="E151" s="30"/>
      <c r="F151" s="30"/>
      <c r="G151" s="30"/>
      <c r="H151" s="30"/>
      <c r="I151" s="30"/>
      <c r="J151" s="30"/>
    </row>
    <row r="152" spans="1:10" ht="13.8">
      <c r="A152" s="30"/>
      <c r="B152" s="30"/>
      <c r="C152" s="10"/>
      <c r="D152" s="30"/>
      <c r="E152" s="30"/>
      <c r="F152" s="30"/>
      <c r="G152" s="30"/>
      <c r="H152" s="30"/>
      <c r="I152" s="30"/>
      <c r="J152" s="30"/>
    </row>
    <row r="153" spans="1:10" ht="13.8">
      <c r="A153" s="30"/>
      <c r="B153" s="30"/>
      <c r="C153" s="10"/>
      <c r="D153" s="30"/>
      <c r="E153" s="30"/>
      <c r="F153" s="30"/>
      <c r="G153" s="30"/>
      <c r="H153" s="30"/>
      <c r="I153" s="30"/>
      <c r="J153" s="30"/>
    </row>
    <row r="154" spans="1:10" ht="13.8">
      <c r="A154" s="30"/>
      <c r="B154" s="30"/>
      <c r="C154" s="10"/>
      <c r="D154" s="30"/>
      <c r="E154" s="30"/>
      <c r="F154" s="30"/>
      <c r="G154" s="30"/>
      <c r="H154" s="30"/>
      <c r="I154" s="30"/>
      <c r="J154" s="30"/>
    </row>
    <row r="155" spans="1:10" ht="13.8">
      <c r="A155" s="30"/>
      <c r="B155" s="30"/>
      <c r="C155" s="10"/>
      <c r="D155" s="30"/>
      <c r="E155" s="30"/>
      <c r="F155" s="30"/>
      <c r="G155" s="30"/>
      <c r="H155" s="30"/>
      <c r="I155" s="30"/>
      <c r="J155" s="30"/>
    </row>
    <row r="156" spans="1:10" ht="13.8">
      <c r="A156" s="30"/>
      <c r="B156" s="30"/>
      <c r="C156" s="10"/>
      <c r="D156" s="30"/>
      <c r="E156" s="30"/>
      <c r="F156" s="30"/>
      <c r="G156" s="30"/>
      <c r="H156" s="30"/>
      <c r="I156" s="30"/>
      <c r="J156" s="30"/>
    </row>
    <row r="157" spans="1:10" ht="13.8">
      <c r="A157" s="30"/>
      <c r="B157" s="30"/>
      <c r="C157" s="10"/>
      <c r="D157" s="30"/>
      <c r="E157" s="30"/>
      <c r="F157" s="30"/>
      <c r="G157" s="30"/>
      <c r="H157" s="30"/>
      <c r="I157" s="30"/>
      <c r="J157" s="30"/>
    </row>
    <row r="158" spans="1:10" ht="13.8">
      <c r="A158" s="30"/>
      <c r="B158" s="30"/>
      <c r="C158" s="10"/>
      <c r="D158" s="30"/>
      <c r="E158" s="30"/>
      <c r="F158" s="30"/>
      <c r="G158" s="30"/>
      <c r="H158" s="30"/>
      <c r="I158" s="30"/>
      <c r="J158" s="30"/>
    </row>
    <row r="159" spans="1:10" ht="13.8">
      <c r="A159" s="30"/>
      <c r="B159" s="30"/>
      <c r="C159" s="10"/>
      <c r="D159" s="30"/>
      <c r="E159" s="30"/>
      <c r="F159" s="30"/>
      <c r="G159" s="30"/>
      <c r="H159" s="30"/>
      <c r="I159" s="30"/>
      <c r="J159" s="30"/>
    </row>
    <row r="160" spans="1:10" ht="13.8">
      <c r="A160" s="30"/>
      <c r="B160" s="30"/>
      <c r="C160" s="10"/>
      <c r="D160" s="30"/>
      <c r="E160" s="30"/>
      <c r="F160" s="30"/>
      <c r="G160" s="30"/>
      <c r="H160" s="30"/>
      <c r="I160" s="30"/>
      <c r="J160" s="30"/>
    </row>
    <row r="161" spans="1:10" ht="13.8">
      <c r="A161" s="30"/>
      <c r="B161" s="30"/>
      <c r="C161" s="10"/>
      <c r="D161" s="30"/>
      <c r="E161" s="30"/>
      <c r="F161" s="30"/>
      <c r="G161" s="30"/>
      <c r="H161" s="30"/>
      <c r="I161" s="30"/>
      <c r="J161" s="30"/>
    </row>
    <row r="162" spans="1:10" ht="13.8">
      <c r="A162" s="30"/>
      <c r="B162" s="30"/>
      <c r="C162" s="10"/>
      <c r="D162" s="30"/>
      <c r="E162" s="30"/>
      <c r="F162" s="30"/>
      <c r="G162" s="30"/>
      <c r="H162" s="30"/>
      <c r="I162" s="30"/>
      <c r="J162" s="30"/>
    </row>
    <row r="163" spans="1:10" ht="13.8">
      <c r="A163" s="30"/>
      <c r="B163" s="30"/>
      <c r="C163" s="10"/>
      <c r="D163" s="30"/>
      <c r="E163" s="30"/>
      <c r="F163" s="30"/>
      <c r="G163" s="30"/>
      <c r="H163" s="30"/>
      <c r="I163" s="30"/>
      <c r="J163" s="30"/>
    </row>
    <row r="164" spans="1:10" ht="13.8">
      <c r="A164" s="30"/>
      <c r="B164" s="30"/>
      <c r="C164" s="10"/>
      <c r="D164" s="30"/>
      <c r="E164" s="30"/>
      <c r="F164" s="30"/>
      <c r="G164" s="30"/>
      <c r="H164" s="30"/>
      <c r="I164" s="30"/>
      <c r="J164" s="30"/>
    </row>
    <row r="165" spans="1:10" ht="13.8">
      <c r="A165" s="30"/>
      <c r="B165" s="30"/>
      <c r="C165" s="10"/>
      <c r="D165" s="30"/>
      <c r="E165" s="30"/>
      <c r="F165" s="30"/>
      <c r="G165" s="30"/>
      <c r="H165" s="30"/>
      <c r="I165" s="30"/>
      <c r="J165" s="30"/>
    </row>
    <row r="166" spans="1:10" ht="13.8">
      <c r="A166" s="30"/>
      <c r="B166" s="30"/>
      <c r="C166" s="10"/>
      <c r="D166" s="30"/>
      <c r="E166" s="30"/>
      <c r="F166" s="30"/>
      <c r="G166" s="30"/>
      <c r="H166" s="30"/>
      <c r="I166" s="30"/>
      <c r="J166" s="30"/>
    </row>
    <row r="167" spans="1:10" ht="13.8">
      <c r="A167" s="30"/>
      <c r="B167" s="30"/>
      <c r="C167" s="10"/>
      <c r="D167" s="30"/>
      <c r="E167" s="30"/>
      <c r="F167" s="30"/>
      <c r="G167" s="30"/>
      <c r="H167" s="30"/>
      <c r="I167" s="30"/>
      <c r="J167" s="30"/>
    </row>
    <row r="168" spans="1:10" ht="13.8">
      <c r="A168" s="30"/>
      <c r="B168" s="30"/>
      <c r="C168" s="10"/>
      <c r="D168" s="30"/>
      <c r="E168" s="30"/>
      <c r="F168" s="30"/>
      <c r="G168" s="30"/>
      <c r="H168" s="30"/>
      <c r="I168" s="30"/>
      <c r="J168" s="30"/>
    </row>
    <row r="169" spans="1:10" ht="13.8">
      <c r="A169" s="30"/>
      <c r="B169" s="30"/>
      <c r="C169" s="10"/>
      <c r="D169" s="30"/>
      <c r="E169" s="30"/>
      <c r="F169" s="30"/>
      <c r="G169" s="30"/>
      <c r="H169" s="30"/>
      <c r="I169" s="30"/>
      <c r="J169" s="30"/>
    </row>
    <row r="170" spans="1:10" ht="13.8">
      <c r="A170" s="30"/>
      <c r="B170" s="30"/>
      <c r="C170" s="10"/>
      <c r="D170" s="30"/>
      <c r="E170" s="30"/>
      <c r="F170" s="30"/>
      <c r="G170" s="30"/>
      <c r="H170" s="30"/>
      <c r="I170" s="30"/>
      <c r="J170" s="30"/>
    </row>
    <row r="171" spans="1:10" ht="13.8">
      <c r="A171" s="30"/>
      <c r="B171" s="30"/>
      <c r="C171" s="10"/>
      <c r="D171" s="30"/>
      <c r="E171" s="30"/>
      <c r="F171" s="30"/>
      <c r="G171" s="30"/>
      <c r="H171" s="30"/>
      <c r="I171" s="30"/>
      <c r="J171" s="30"/>
    </row>
    <row r="172" spans="1:10" ht="13.8">
      <c r="A172" s="30"/>
      <c r="B172" s="30"/>
      <c r="C172" s="10"/>
      <c r="D172" s="30"/>
      <c r="E172" s="30"/>
      <c r="F172" s="30"/>
      <c r="G172" s="30"/>
      <c r="H172" s="30"/>
      <c r="I172" s="30"/>
      <c r="J172" s="30"/>
    </row>
    <row r="173" spans="1:10" ht="13.8">
      <c r="A173" s="30"/>
      <c r="B173" s="30"/>
      <c r="C173" s="10"/>
      <c r="D173" s="30"/>
      <c r="E173" s="30"/>
      <c r="F173" s="30"/>
      <c r="G173" s="30"/>
      <c r="H173" s="30"/>
      <c r="I173" s="30"/>
      <c r="J173" s="30"/>
    </row>
    <row r="174" spans="1:10" ht="13.8">
      <c r="A174" s="30"/>
      <c r="B174" s="30"/>
      <c r="C174" s="10"/>
      <c r="D174" s="30"/>
      <c r="E174" s="30"/>
      <c r="F174" s="30"/>
      <c r="G174" s="30"/>
      <c r="H174" s="30"/>
      <c r="I174" s="30"/>
      <c r="J174" s="30"/>
    </row>
    <row r="175" spans="1:10" ht="13.8">
      <c r="A175" s="30"/>
      <c r="B175" s="30"/>
      <c r="C175" s="10"/>
      <c r="D175" s="30"/>
      <c r="E175" s="30"/>
      <c r="F175" s="30"/>
      <c r="G175" s="30"/>
      <c r="H175" s="30"/>
      <c r="I175" s="30"/>
      <c r="J175" s="30"/>
    </row>
    <row r="176" spans="1:10" ht="13.8">
      <c r="A176" s="30"/>
      <c r="B176" s="30"/>
      <c r="C176" s="10"/>
      <c r="D176" s="30"/>
      <c r="E176" s="30"/>
      <c r="F176" s="30"/>
      <c r="G176" s="30"/>
      <c r="H176" s="30"/>
      <c r="I176" s="30"/>
      <c r="J176" s="30"/>
    </row>
    <row r="177" spans="1:10" ht="13.8">
      <c r="A177" s="30"/>
      <c r="B177" s="30"/>
      <c r="C177" s="10"/>
      <c r="D177" s="30"/>
      <c r="E177" s="30"/>
      <c r="F177" s="30"/>
      <c r="G177" s="30"/>
      <c r="H177" s="30"/>
      <c r="I177" s="30"/>
      <c r="J177" s="30"/>
    </row>
    <row r="178" spans="1:10" ht="13.8">
      <c r="A178" s="30"/>
      <c r="B178" s="30"/>
      <c r="C178" s="10"/>
      <c r="D178" s="30"/>
      <c r="E178" s="30"/>
      <c r="F178" s="30"/>
      <c r="G178" s="30"/>
      <c r="H178" s="30"/>
      <c r="I178" s="30"/>
      <c r="J178" s="30"/>
    </row>
    <row r="179" spans="1:10" ht="13.8">
      <c r="A179" s="30"/>
      <c r="B179" s="30"/>
      <c r="C179" s="10"/>
      <c r="D179" s="30"/>
      <c r="E179" s="30"/>
      <c r="F179" s="30"/>
      <c r="G179" s="30"/>
      <c r="H179" s="30"/>
      <c r="I179" s="30"/>
      <c r="J179" s="30"/>
    </row>
    <row r="180" spans="1:10" ht="13.8">
      <c r="A180" s="30"/>
      <c r="B180" s="30"/>
      <c r="C180" s="10"/>
      <c r="D180" s="30"/>
      <c r="E180" s="30"/>
      <c r="F180" s="30"/>
      <c r="G180" s="30"/>
      <c r="H180" s="30"/>
      <c r="I180" s="30"/>
      <c r="J180" s="30"/>
    </row>
    <row r="181" spans="1:10" ht="13.8">
      <c r="A181" s="30"/>
      <c r="B181" s="30"/>
      <c r="C181" s="10"/>
      <c r="D181" s="30"/>
      <c r="E181" s="30"/>
      <c r="F181" s="30"/>
      <c r="G181" s="30"/>
      <c r="H181" s="30"/>
      <c r="I181" s="30"/>
      <c r="J181" s="30"/>
    </row>
    <row r="182" spans="1:10" ht="13.8">
      <c r="A182" s="30"/>
      <c r="B182" s="30"/>
      <c r="C182" s="10"/>
      <c r="D182" s="30"/>
      <c r="E182" s="30"/>
      <c r="F182" s="30"/>
      <c r="G182" s="30"/>
      <c r="H182" s="30"/>
      <c r="I182" s="30"/>
      <c r="J182" s="30"/>
    </row>
    <row r="183" spans="1:10" ht="13.8">
      <c r="A183" s="30"/>
      <c r="B183" s="30"/>
      <c r="C183" s="10"/>
      <c r="D183" s="30"/>
      <c r="E183" s="30"/>
      <c r="F183" s="30"/>
      <c r="G183" s="30"/>
      <c r="H183" s="30"/>
      <c r="I183" s="30"/>
      <c r="J183" s="30"/>
    </row>
    <row r="184" spans="1:10" ht="13.8">
      <c r="A184" s="30"/>
      <c r="B184" s="30"/>
      <c r="C184" s="10"/>
      <c r="D184" s="30"/>
      <c r="E184" s="30"/>
      <c r="F184" s="30"/>
      <c r="G184" s="30"/>
      <c r="H184" s="30"/>
      <c r="I184" s="30"/>
      <c r="J184" s="30"/>
    </row>
    <row r="185" spans="1:10" ht="13.8">
      <c r="A185" s="30"/>
      <c r="B185" s="30"/>
      <c r="C185" s="10"/>
      <c r="D185" s="30"/>
      <c r="E185" s="30"/>
      <c r="F185" s="30"/>
      <c r="G185" s="30"/>
      <c r="H185" s="30"/>
      <c r="I185" s="30"/>
      <c r="J185" s="30"/>
    </row>
    <row r="186" spans="1:10" ht="13.8">
      <c r="A186" s="30"/>
      <c r="B186" s="30"/>
      <c r="C186" s="10"/>
      <c r="D186" s="30"/>
      <c r="E186" s="30"/>
      <c r="F186" s="30"/>
      <c r="G186" s="30"/>
      <c r="H186" s="30"/>
      <c r="I186" s="30"/>
      <c r="J186" s="30"/>
    </row>
    <row r="187" spans="1:10" ht="13.8">
      <c r="A187" s="30"/>
      <c r="B187" s="30"/>
      <c r="C187" s="10"/>
      <c r="D187" s="30"/>
      <c r="E187" s="30"/>
      <c r="F187" s="30"/>
      <c r="G187" s="30"/>
      <c r="H187" s="30"/>
      <c r="I187" s="30"/>
      <c r="J187" s="30"/>
    </row>
    <row r="188" spans="1:10" ht="13.8">
      <c r="A188" s="30"/>
      <c r="B188" s="30"/>
      <c r="C188" s="10"/>
      <c r="D188" s="30"/>
      <c r="E188" s="30"/>
      <c r="F188" s="30"/>
      <c r="G188" s="30"/>
      <c r="H188" s="30"/>
      <c r="I188" s="30"/>
      <c r="J188" s="30"/>
    </row>
    <row r="189" spans="1:10" ht="13.8">
      <c r="A189" s="30"/>
      <c r="B189" s="30"/>
      <c r="C189" s="10"/>
      <c r="D189" s="30"/>
      <c r="E189" s="30"/>
      <c r="F189" s="30"/>
      <c r="G189" s="30"/>
      <c r="H189" s="30"/>
      <c r="I189" s="30"/>
      <c r="J189" s="30"/>
    </row>
    <row r="190" spans="1:10" ht="13.8">
      <c r="A190" s="30"/>
      <c r="B190" s="30"/>
      <c r="C190" s="10"/>
      <c r="D190" s="30"/>
      <c r="E190" s="30"/>
      <c r="F190" s="30"/>
      <c r="G190" s="30"/>
      <c r="H190" s="30"/>
      <c r="I190" s="30"/>
      <c r="J190" s="30"/>
    </row>
    <row r="191" spans="1:10" ht="13.8">
      <c r="A191" s="30"/>
      <c r="B191" s="30"/>
      <c r="C191" s="10"/>
      <c r="D191" s="30"/>
      <c r="E191" s="30"/>
      <c r="F191" s="30"/>
      <c r="G191" s="30"/>
      <c r="H191" s="30"/>
      <c r="I191" s="30"/>
      <c r="J191" s="30"/>
    </row>
    <row r="192" spans="1:10" ht="13.8">
      <c r="A192" s="30"/>
      <c r="B192" s="30"/>
      <c r="C192" s="10"/>
      <c r="D192" s="30"/>
      <c r="E192" s="30"/>
      <c r="F192" s="30"/>
      <c r="G192" s="30"/>
      <c r="H192" s="30"/>
      <c r="I192" s="30"/>
      <c r="J192" s="30"/>
    </row>
    <row r="193" spans="1:10" ht="13.8">
      <c r="A193" s="30"/>
      <c r="B193" s="30"/>
      <c r="C193" s="10"/>
      <c r="D193" s="30"/>
      <c r="E193" s="30"/>
      <c r="F193" s="30"/>
      <c r="G193" s="30"/>
      <c r="H193" s="30"/>
      <c r="I193" s="30"/>
      <c r="J193" s="30"/>
    </row>
    <row r="194" spans="1:10" ht="13.8">
      <c r="A194" s="30"/>
      <c r="B194" s="30"/>
      <c r="C194" s="10"/>
      <c r="D194" s="30"/>
      <c r="E194" s="30"/>
      <c r="F194" s="30"/>
      <c r="G194" s="30"/>
      <c r="H194" s="30"/>
      <c r="I194" s="30"/>
      <c r="J194" s="30"/>
    </row>
    <row r="195" spans="1:10" ht="13.8">
      <c r="A195" s="30"/>
      <c r="B195" s="30"/>
      <c r="C195" s="10"/>
      <c r="D195" s="30"/>
      <c r="E195" s="30"/>
      <c r="F195" s="30"/>
      <c r="G195" s="30"/>
      <c r="H195" s="30"/>
      <c r="I195" s="30"/>
      <c r="J195" s="30"/>
    </row>
    <row r="196" spans="1:10" ht="13.8">
      <c r="A196" s="30"/>
      <c r="B196" s="30"/>
      <c r="C196" s="10"/>
      <c r="D196" s="30"/>
      <c r="E196" s="30"/>
      <c r="F196" s="30"/>
      <c r="G196" s="30"/>
      <c r="H196" s="30"/>
      <c r="I196" s="30"/>
      <c r="J196" s="30"/>
    </row>
    <row r="197" spans="1:10" ht="13.8">
      <c r="A197" s="30"/>
      <c r="B197" s="30"/>
      <c r="C197" s="10"/>
      <c r="D197" s="30"/>
      <c r="E197" s="30"/>
      <c r="F197" s="30"/>
      <c r="G197" s="30"/>
      <c r="H197" s="30"/>
      <c r="I197" s="30"/>
      <c r="J197" s="30"/>
    </row>
    <row r="198" spans="1:10" ht="13.8">
      <c r="A198" s="30"/>
      <c r="B198" s="30"/>
      <c r="C198" s="10"/>
      <c r="D198" s="30"/>
      <c r="E198" s="30"/>
      <c r="F198" s="30"/>
      <c r="G198" s="30"/>
      <c r="H198" s="30"/>
      <c r="I198" s="30"/>
      <c r="J198" s="30"/>
    </row>
    <row r="199" spans="1:10" ht="13.8">
      <c r="A199" s="30"/>
      <c r="B199" s="30"/>
      <c r="C199" s="10"/>
      <c r="D199" s="30"/>
      <c r="E199" s="30"/>
      <c r="F199" s="30"/>
      <c r="G199" s="30"/>
      <c r="H199" s="30"/>
      <c r="I199" s="30"/>
      <c r="J199" s="30"/>
    </row>
    <row r="200" spans="1:10" ht="13.8">
      <c r="A200" s="30"/>
      <c r="B200" s="30"/>
      <c r="C200" s="10"/>
      <c r="D200" s="30"/>
      <c r="E200" s="30"/>
      <c r="F200" s="30"/>
      <c r="G200" s="30"/>
      <c r="H200" s="30"/>
      <c r="I200" s="30"/>
      <c r="J200" s="30"/>
    </row>
    <row r="201" spans="1:10" ht="13.8">
      <c r="A201" s="30"/>
      <c r="B201" s="30"/>
      <c r="C201" s="10"/>
      <c r="D201" s="30"/>
      <c r="E201" s="30"/>
      <c r="F201" s="30"/>
      <c r="G201" s="30"/>
      <c r="H201" s="30"/>
      <c r="I201" s="30"/>
      <c r="J201" s="30"/>
    </row>
    <row r="202" spans="1:10" ht="13.8">
      <c r="A202" s="30"/>
      <c r="B202" s="30"/>
      <c r="C202" s="10"/>
      <c r="D202" s="30"/>
      <c r="E202" s="30"/>
      <c r="F202" s="30"/>
      <c r="G202" s="30"/>
      <c r="H202" s="30"/>
      <c r="I202" s="30"/>
      <c r="J202" s="30"/>
    </row>
    <row r="203" spans="1:10" ht="13.8">
      <c r="A203" s="30"/>
      <c r="B203" s="30"/>
      <c r="C203" s="10"/>
      <c r="D203" s="30"/>
      <c r="E203" s="30"/>
      <c r="F203" s="30"/>
      <c r="G203" s="30"/>
      <c r="H203" s="30"/>
      <c r="I203" s="30"/>
      <c r="J203" s="30"/>
    </row>
    <row r="204" spans="1:10" ht="13.8">
      <c r="A204" s="30"/>
      <c r="B204" s="30"/>
      <c r="C204" s="10"/>
      <c r="D204" s="30"/>
      <c r="E204" s="30"/>
      <c r="F204" s="30"/>
      <c r="G204" s="30"/>
      <c r="H204" s="30"/>
      <c r="I204" s="30"/>
      <c r="J204" s="30"/>
    </row>
    <row r="205" spans="1:10" ht="13.8">
      <c r="A205" s="30"/>
      <c r="B205" s="30"/>
      <c r="C205" s="10"/>
      <c r="D205" s="30"/>
      <c r="E205" s="30"/>
      <c r="F205" s="30"/>
      <c r="G205" s="30"/>
      <c r="H205" s="30"/>
      <c r="I205" s="30"/>
      <c r="J205" s="30"/>
    </row>
    <row r="206" spans="1:10" ht="13.8">
      <c r="A206" s="30"/>
      <c r="B206" s="30"/>
      <c r="C206" s="10"/>
      <c r="D206" s="30"/>
      <c r="E206" s="30"/>
      <c r="F206" s="30"/>
      <c r="G206" s="30"/>
      <c r="H206" s="30"/>
      <c r="I206" s="30"/>
      <c r="J206" s="30"/>
    </row>
    <row r="207" spans="1:10" ht="13.8">
      <c r="A207" s="30"/>
      <c r="B207" s="30"/>
      <c r="C207" s="10"/>
      <c r="D207" s="30"/>
      <c r="E207" s="30"/>
      <c r="F207" s="30"/>
      <c r="G207" s="30"/>
      <c r="H207" s="30"/>
      <c r="I207" s="30"/>
      <c r="J207" s="30"/>
    </row>
    <row r="208" spans="1:10" ht="13.8">
      <c r="A208" s="30"/>
      <c r="B208" s="30"/>
      <c r="C208" s="10"/>
      <c r="D208" s="30"/>
      <c r="E208" s="30"/>
      <c r="F208" s="30"/>
      <c r="G208" s="30"/>
      <c r="H208" s="30"/>
      <c r="I208" s="30"/>
      <c r="J208" s="30"/>
    </row>
    <row r="209" spans="1:10" ht="13.8">
      <c r="A209" s="30"/>
      <c r="B209" s="30"/>
      <c r="C209" s="10"/>
      <c r="D209" s="30"/>
      <c r="E209" s="30"/>
      <c r="F209" s="30"/>
      <c r="G209" s="30"/>
      <c r="H209" s="30"/>
      <c r="I209" s="30"/>
      <c r="J209" s="30"/>
    </row>
    <row r="210" spans="1:10" ht="13.8">
      <c r="A210" s="30"/>
      <c r="B210" s="30"/>
      <c r="C210" s="10"/>
      <c r="D210" s="30"/>
      <c r="E210" s="30"/>
      <c r="F210" s="30"/>
      <c r="G210" s="30"/>
      <c r="H210" s="30"/>
      <c r="I210" s="30"/>
      <c r="J210" s="30"/>
    </row>
    <row r="211" spans="1:10" ht="13.8">
      <c r="A211" s="30"/>
      <c r="B211" s="30"/>
      <c r="C211" s="10"/>
      <c r="D211" s="30"/>
      <c r="E211" s="30"/>
      <c r="F211" s="30"/>
      <c r="G211" s="30"/>
      <c r="H211" s="30"/>
      <c r="I211" s="30"/>
      <c r="J211" s="30"/>
    </row>
    <row r="212" spans="1:10" ht="13.8">
      <c r="A212" s="30"/>
      <c r="B212" s="30"/>
      <c r="C212" s="10"/>
      <c r="D212" s="30"/>
      <c r="E212" s="30"/>
      <c r="F212" s="30"/>
      <c r="G212" s="30"/>
      <c r="H212" s="30"/>
      <c r="I212" s="30"/>
      <c r="J212" s="30"/>
    </row>
    <row r="213" spans="1:10" ht="13.8">
      <c r="A213" s="30"/>
      <c r="B213" s="30"/>
      <c r="C213" s="10"/>
      <c r="D213" s="30"/>
      <c r="E213" s="30"/>
      <c r="F213" s="30"/>
      <c r="G213" s="30"/>
      <c r="H213" s="30"/>
      <c r="I213" s="30"/>
      <c r="J213" s="30"/>
    </row>
    <row r="214" spans="1:10" ht="13.8">
      <c r="A214" s="30"/>
      <c r="B214" s="30"/>
      <c r="C214" s="10"/>
      <c r="D214" s="30"/>
      <c r="E214" s="30"/>
      <c r="F214" s="30"/>
      <c r="G214" s="30"/>
      <c r="H214" s="30"/>
      <c r="I214" s="30"/>
      <c r="J214" s="30"/>
    </row>
    <row r="215" spans="1:10" ht="13.8">
      <c r="A215" s="30"/>
      <c r="B215" s="30"/>
      <c r="C215" s="10"/>
      <c r="D215" s="30"/>
      <c r="E215" s="30"/>
      <c r="F215" s="30"/>
      <c r="G215" s="30"/>
      <c r="H215" s="30"/>
      <c r="I215" s="30"/>
      <c r="J215" s="30"/>
    </row>
    <row r="216" spans="1:10" ht="13.8">
      <c r="A216" s="30"/>
      <c r="B216" s="30"/>
      <c r="C216" s="10"/>
      <c r="D216" s="30"/>
      <c r="E216" s="30"/>
      <c r="F216" s="30"/>
      <c r="G216" s="30"/>
      <c r="H216" s="30"/>
      <c r="I216" s="30"/>
      <c r="J216" s="30"/>
    </row>
    <row r="217" spans="1:10" ht="13.8">
      <c r="A217" s="30"/>
      <c r="B217" s="30"/>
      <c r="C217" s="10"/>
      <c r="D217" s="30"/>
      <c r="E217" s="30"/>
      <c r="F217" s="30"/>
      <c r="G217" s="30"/>
      <c r="H217" s="30"/>
      <c r="I217" s="30"/>
      <c r="J217" s="30"/>
    </row>
    <row r="218" spans="1:10" ht="13.8">
      <c r="A218" s="30"/>
      <c r="B218" s="30"/>
      <c r="C218" s="10"/>
      <c r="D218" s="30"/>
      <c r="E218" s="30"/>
      <c r="F218" s="30"/>
      <c r="G218" s="30"/>
      <c r="H218" s="30"/>
      <c r="I218" s="30"/>
      <c r="J218" s="30"/>
    </row>
    <row r="219" spans="1:10" ht="13.8">
      <c r="A219" s="30"/>
      <c r="B219" s="30"/>
      <c r="C219" s="10"/>
      <c r="D219" s="30"/>
      <c r="E219" s="30"/>
      <c r="F219" s="30"/>
      <c r="G219" s="30"/>
      <c r="H219" s="30"/>
      <c r="I219" s="30"/>
      <c r="J219" s="30"/>
    </row>
    <row r="220" spans="1:10" ht="13.8">
      <c r="A220" s="30"/>
      <c r="B220" s="30"/>
      <c r="C220" s="10"/>
      <c r="D220" s="30"/>
      <c r="E220" s="30"/>
      <c r="F220" s="30"/>
      <c r="G220" s="30"/>
      <c r="H220" s="30"/>
      <c r="I220" s="30"/>
      <c r="J220" s="30"/>
    </row>
    <row r="221" spans="1:10" ht="13.8">
      <c r="A221" s="30"/>
      <c r="B221" s="30"/>
      <c r="C221" s="10"/>
      <c r="D221" s="30"/>
      <c r="E221" s="30"/>
      <c r="F221" s="30"/>
      <c r="G221" s="30"/>
      <c r="H221" s="30"/>
      <c r="I221" s="30"/>
      <c r="J221" s="30"/>
    </row>
    <row r="222" spans="1:10" ht="13.8">
      <c r="A222" s="30"/>
      <c r="B222" s="30"/>
      <c r="C222" s="10"/>
      <c r="D222" s="30"/>
      <c r="E222" s="30"/>
      <c r="F222" s="30"/>
      <c r="G222" s="30"/>
      <c r="H222" s="30"/>
      <c r="I222" s="30"/>
      <c r="J222" s="30"/>
    </row>
    <row r="223" spans="1:10" ht="13.8">
      <c r="A223" s="30"/>
      <c r="B223" s="30"/>
      <c r="C223" s="10"/>
      <c r="D223" s="30"/>
      <c r="E223" s="30"/>
      <c r="F223" s="30"/>
      <c r="G223" s="30"/>
      <c r="H223" s="30"/>
      <c r="I223" s="30"/>
      <c r="J223" s="30"/>
    </row>
    <row r="224" spans="1:10" ht="13.8">
      <c r="A224" s="30"/>
      <c r="B224" s="30"/>
      <c r="C224" s="10"/>
      <c r="D224" s="30"/>
      <c r="E224" s="30"/>
      <c r="F224" s="30"/>
      <c r="G224" s="30"/>
      <c r="H224" s="30"/>
      <c r="I224" s="30"/>
      <c r="J224" s="30"/>
    </row>
    <row r="225" spans="1:10" ht="13.8">
      <c r="A225" s="30"/>
      <c r="B225" s="30"/>
      <c r="C225" s="10"/>
      <c r="D225" s="30"/>
      <c r="E225" s="30"/>
      <c r="F225" s="30"/>
      <c r="G225" s="30"/>
      <c r="H225" s="30"/>
      <c r="I225" s="30"/>
      <c r="J225" s="30"/>
    </row>
    <row r="226" spans="1:10" ht="13.8">
      <c r="A226" s="30"/>
      <c r="B226" s="30"/>
      <c r="C226" s="10"/>
      <c r="D226" s="30"/>
      <c r="E226" s="30"/>
      <c r="F226" s="30"/>
      <c r="G226" s="30"/>
      <c r="H226" s="30"/>
      <c r="I226" s="30"/>
      <c r="J226" s="30"/>
    </row>
    <row r="227" spans="1:10" ht="13.8">
      <c r="A227" s="30"/>
      <c r="B227" s="30"/>
      <c r="C227" s="10"/>
      <c r="D227" s="30"/>
      <c r="E227" s="30"/>
      <c r="F227" s="30"/>
      <c r="G227" s="30"/>
      <c r="H227" s="30"/>
      <c r="I227" s="30"/>
      <c r="J227" s="30"/>
    </row>
    <row r="228" spans="1:10" ht="13.8">
      <c r="A228" s="30"/>
      <c r="B228" s="30"/>
      <c r="C228" s="10"/>
      <c r="D228" s="30"/>
      <c r="E228" s="30"/>
      <c r="F228" s="30"/>
      <c r="G228" s="30"/>
      <c r="H228" s="30"/>
      <c r="I228" s="30"/>
      <c r="J228" s="30"/>
    </row>
    <row r="229" spans="1:10" ht="13.8">
      <c r="A229" s="30"/>
      <c r="B229" s="30"/>
      <c r="C229" s="10"/>
      <c r="D229" s="30"/>
      <c r="E229" s="30"/>
      <c r="F229" s="30"/>
      <c r="G229" s="30"/>
      <c r="H229" s="30"/>
      <c r="I229" s="30"/>
      <c r="J229" s="30"/>
    </row>
    <row r="230" spans="1:10" ht="13.8">
      <c r="A230" s="30"/>
      <c r="B230" s="30"/>
      <c r="C230" s="10"/>
      <c r="D230" s="30"/>
      <c r="E230" s="30"/>
      <c r="F230" s="30"/>
      <c r="G230" s="30"/>
      <c r="H230" s="30"/>
      <c r="I230" s="30"/>
      <c r="J230" s="30"/>
    </row>
    <row r="231" spans="1:10" ht="13.8">
      <c r="A231" s="30"/>
      <c r="B231" s="30"/>
      <c r="C231" s="10"/>
      <c r="D231" s="30"/>
      <c r="E231" s="30"/>
      <c r="F231" s="30"/>
      <c r="G231" s="30"/>
      <c r="H231" s="30"/>
      <c r="I231" s="30"/>
      <c r="J231" s="30"/>
    </row>
    <row r="232" spans="1:10" ht="13.8">
      <c r="A232" s="30"/>
      <c r="B232" s="30"/>
      <c r="C232" s="10"/>
      <c r="D232" s="30"/>
      <c r="E232" s="30"/>
      <c r="F232" s="30"/>
      <c r="G232" s="30"/>
      <c r="H232" s="30"/>
      <c r="I232" s="30"/>
      <c r="J232" s="30"/>
    </row>
    <row r="233" spans="1:10" ht="13.8">
      <c r="A233" s="30"/>
      <c r="B233" s="30"/>
      <c r="C233" s="10"/>
      <c r="D233" s="30"/>
      <c r="E233" s="30"/>
      <c r="F233" s="30"/>
      <c r="G233" s="30"/>
      <c r="H233" s="30"/>
      <c r="I233" s="30"/>
      <c r="J233" s="30"/>
    </row>
    <row r="234" spans="1:10" ht="13.8">
      <c r="A234" s="30"/>
      <c r="B234" s="30"/>
      <c r="C234" s="10"/>
      <c r="D234" s="30"/>
      <c r="E234" s="30"/>
      <c r="F234" s="30"/>
      <c r="G234" s="30"/>
      <c r="H234" s="30"/>
      <c r="I234" s="30"/>
      <c r="J234" s="30"/>
    </row>
    <row r="235" spans="1:10" ht="13.8">
      <c r="A235" s="30"/>
      <c r="B235" s="30"/>
      <c r="C235" s="10"/>
      <c r="D235" s="30"/>
      <c r="E235" s="30"/>
      <c r="F235" s="30"/>
      <c r="G235" s="30"/>
      <c r="H235" s="30"/>
      <c r="I235" s="30"/>
      <c r="J235" s="30"/>
    </row>
    <row r="236" spans="1:10" ht="13.8">
      <c r="A236" s="30"/>
      <c r="B236" s="30"/>
      <c r="C236" s="10"/>
      <c r="D236" s="30"/>
      <c r="E236" s="30"/>
      <c r="F236" s="30"/>
      <c r="G236" s="30"/>
      <c r="H236" s="30"/>
      <c r="I236" s="30"/>
      <c r="J236" s="30"/>
    </row>
    <row r="237" spans="1:10" ht="13.8">
      <c r="A237" s="30"/>
      <c r="B237" s="30"/>
      <c r="C237" s="10"/>
      <c r="D237" s="30"/>
      <c r="E237" s="30"/>
      <c r="F237" s="30"/>
      <c r="G237" s="30"/>
      <c r="H237" s="30"/>
      <c r="I237" s="30"/>
      <c r="J237" s="30"/>
    </row>
    <row r="238" spans="1:10" ht="13.8">
      <c r="A238" s="30"/>
      <c r="B238" s="30"/>
      <c r="C238" s="10"/>
      <c r="D238" s="30"/>
      <c r="E238" s="30"/>
      <c r="F238" s="30"/>
      <c r="G238" s="30"/>
      <c r="H238" s="30"/>
      <c r="I238" s="30"/>
      <c r="J238" s="30"/>
    </row>
    <row r="239" spans="1:10" ht="13.8">
      <c r="A239" s="30"/>
      <c r="B239" s="30"/>
      <c r="C239" s="10"/>
      <c r="D239" s="30"/>
      <c r="E239" s="30"/>
      <c r="F239" s="30"/>
      <c r="G239" s="30"/>
      <c r="H239" s="30"/>
      <c r="I239" s="30"/>
      <c r="J239" s="30"/>
    </row>
    <row r="240" spans="1:10" ht="13.8">
      <c r="A240" s="30"/>
      <c r="B240" s="30"/>
      <c r="C240" s="10"/>
      <c r="D240" s="30"/>
      <c r="E240" s="30"/>
      <c r="F240" s="30"/>
      <c r="G240" s="30"/>
      <c r="H240" s="30"/>
      <c r="I240" s="30"/>
      <c r="J240" s="30"/>
    </row>
    <row r="241" spans="1:10" ht="13.8">
      <c r="A241" s="30"/>
      <c r="B241" s="30"/>
      <c r="C241" s="10"/>
      <c r="D241" s="30"/>
      <c r="E241" s="30"/>
      <c r="F241" s="30"/>
      <c r="G241" s="30"/>
      <c r="H241" s="30"/>
      <c r="I241" s="30"/>
      <c r="J241" s="30"/>
    </row>
    <row r="242" spans="1:10" ht="13.8">
      <c r="A242" s="30"/>
      <c r="B242" s="30"/>
      <c r="C242" s="10"/>
      <c r="D242" s="30"/>
      <c r="E242" s="30"/>
      <c r="F242" s="30"/>
      <c r="G242" s="30"/>
      <c r="H242" s="30"/>
      <c r="I242" s="30"/>
      <c r="J242" s="30"/>
    </row>
    <row r="243" spans="1:10" ht="13.8">
      <c r="A243" s="30"/>
      <c r="B243" s="30"/>
      <c r="C243" s="10"/>
      <c r="D243" s="30"/>
      <c r="E243" s="30"/>
      <c r="F243" s="30"/>
      <c r="G243" s="30"/>
      <c r="H243" s="30"/>
      <c r="I243" s="30"/>
      <c r="J243" s="30"/>
    </row>
    <row r="244" spans="1:10" ht="13.8">
      <c r="A244" s="30"/>
      <c r="B244" s="30"/>
      <c r="C244" s="10"/>
      <c r="D244" s="30"/>
      <c r="E244" s="30"/>
      <c r="F244" s="30"/>
      <c r="G244" s="30"/>
      <c r="H244" s="30"/>
      <c r="I244" s="30"/>
      <c r="J244" s="30"/>
    </row>
    <row r="245" spans="1:10" ht="13.8">
      <c r="A245" s="30"/>
      <c r="B245" s="30"/>
      <c r="C245" s="10"/>
      <c r="D245" s="30"/>
      <c r="E245" s="30"/>
      <c r="F245" s="30"/>
      <c r="G245" s="30"/>
      <c r="H245" s="30"/>
      <c r="I245" s="30"/>
      <c r="J245" s="30"/>
    </row>
    <row r="246" spans="1:10" ht="13.8">
      <c r="A246" s="30"/>
      <c r="B246" s="30"/>
      <c r="C246" s="10"/>
      <c r="D246" s="30"/>
      <c r="E246" s="30"/>
      <c r="F246" s="30"/>
      <c r="G246" s="30"/>
      <c r="H246" s="30"/>
      <c r="I246" s="30"/>
      <c r="J246" s="30"/>
    </row>
    <row r="247" spans="1:10" ht="13.8">
      <c r="A247" s="30"/>
      <c r="B247" s="30"/>
      <c r="C247" s="10"/>
      <c r="D247" s="30"/>
      <c r="E247" s="30"/>
      <c r="F247" s="30"/>
      <c r="G247" s="30"/>
      <c r="H247" s="30"/>
      <c r="I247" s="30"/>
      <c r="J247" s="30"/>
    </row>
    <row r="248" spans="1:10" ht="13.8">
      <c r="A248" s="30"/>
      <c r="B248" s="30"/>
      <c r="C248" s="10"/>
      <c r="D248" s="30"/>
      <c r="E248" s="30"/>
      <c r="F248" s="30"/>
      <c r="G248" s="30"/>
      <c r="H248" s="30"/>
      <c r="I248" s="30"/>
      <c r="J248" s="30"/>
    </row>
    <row r="249" spans="1:10" ht="13.8">
      <c r="A249" s="30"/>
      <c r="B249" s="30"/>
      <c r="C249" s="10"/>
      <c r="D249" s="30"/>
      <c r="E249" s="30"/>
      <c r="F249" s="30"/>
      <c r="G249" s="30"/>
      <c r="H249" s="30"/>
      <c r="I249" s="30"/>
      <c r="J249" s="30"/>
    </row>
    <row r="250" spans="1:10" ht="13.8">
      <c r="A250" s="30"/>
      <c r="B250" s="30"/>
      <c r="C250" s="10"/>
      <c r="D250" s="30"/>
      <c r="E250" s="30"/>
      <c r="F250" s="30"/>
      <c r="G250" s="30"/>
      <c r="H250" s="30"/>
      <c r="I250" s="30"/>
      <c r="J250" s="30"/>
    </row>
    <row r="251" spans="1:10" ht="13.8">
      <c r="A251" s="30"/>
      <c r="B251" s="30"/>
      <c r="C251" s="10"/>
      <c r="D251" s="30"/>
      <c r="E251" s="30"/>
      <c r="F251" s="30"/>
      <c r="G251" s="30"/>
      <c r="H251" s="30"/>
      <c r="I251" s="30"/>
      <c r="J251" s="30"/>
    </row>
    <row r="252" spans="1:10" ht="13.8">
      <c r="A252" s="30"/>
      <c r="B252" s="30"/>
      <c r="C252" s="10"/>
      <c r="D252" s="30"/>
      <c r="E252" s="30"/>
      <c r="F252" s="30"/>
      <c r="G252" s="30"/>
      <c r="H252" s="30"/>
      <c r="I252" s="30"/>
      <c r="J252" s="30"/>
    </row>
    <row r="253" spans="1:10" ht="13.8">
      <c r="A253" s="30"/>
      <c r="B253" s="30"/>
      <c r="C253" s="10"/>
      <c r="D253" s="30"/>
      <c r="E253" s="30"/>
      <c r="F253" s="30"/>
      <c r="G253" s="30"/>
      <c r="H253" s="30"/>
      <c r="I253" s="30"/>
      <c r="J253" s="30"/>
    </row>
    <row r="254" spans="1:10" ht="13.8">
      <c r="A254" s="30"/>
      <c r="B254" s="30"/>
      <c r="C254" s="10"/>
      <c r="D254" s="30"/>
      <c r="E254" s="30"/>
      <c r="F254" s="30"/>
      <c r="G254" s="30"/>
      <c r="H254" s="30"/>
      <c r="I254" s="30"/>
      <c r="J254" s="30"/>
    </row>
    <row r="255" spans="1:10" ht="13.8">
      <c r="A255" s="30"/>
      <c r="B255" s="30"/>
      <c r="C255" s="10"/>
      <c r="D255" s="30"/>
      <c r="E255" s="30"/>
      <c r="F255" s="30"/>
      <c r="G255" s="30"/>
      <c r="H255" s="30"/>
      <c r="I255" s="30"/>
      <c r="J255" s="30"/>
    </row>
    <row r="256" spans="1:10" ht="13.8">
      <c r="A256" s="30"/>
      <c r="B256" s="30"/>
      <c r="C256" s="10"/>
      <c r="D256" s="30"/>
      <c r="E256" s="30"/>
      <c r="F256" s="30"/>
      <c r="G256" s="30"/>
      <c r="H256" s="30"/>
      <c r="I256" s="30"/>
      <c r="J256" s="30"/>
    </row>
    <row r="257" spans="1:10" ht="13.8">
      <c r="A257" s="30"/>
      <c r="B257" s="30"/>
      <c r="C257" s="10"/>
      <c r="D257" s="30"/>
      <c r="E257" s="30"/>
      <c r="F257" s="30"/>
      <c r="G257" s="30"/>
      <c r="H257" s="30"/>
      <c r="I257" s="30"/>
      <c r="J257" s="30"/>
    </row>
    <row r="258" spans="1:10" ht="13.8">
      <c r="A258" s="30"/>
      <c r="B258" s="30"/>
      <c r="C258" s="10"/>
      <c r="D258" s="30"/>
      <c r="E258" s="30"/>
      <c r="F258" s="30"/>
      <c r="G258" s="30"/>
      <c r="H258" s="30"/>
      <c r="I258" s="30"/>
      <c r="J258" s="30"/>
    </row>
    <row r="259" spans="1:10" ht="13.8">
      <c r="A259" s="30"/>
      <c r="B259" s="30"/>
      <c r="C259" s="10"/>
      <c r="D259" s="30"/>
      <c r="E259" s="30"/>
      <c r="F259" s="30"/>
      <c r="G259" s="30"/>
      <c r="H259" s="30"/>
      <c r="I259" s="30"/>
      <c r="J259" s="30"/>
    </row>
    <row r="260" spans="1:10" ht="13.8">
      <c r="A260" s="30"/>
      <c r="B260" s="30"/>
      <c r="C260" s="10"/>
      <c r="D260" s="30"/>
      <c r="E260" s="30"/>
      <c r="F260" s="30"/>
      <c r="G260" s="30"/>
      <c r="H260" s="30"/>
      <c r="I260" s="30"/>
      <c r="J260" s="30"/>
    </row>
    <row r="261" spans="1:10" ht="13.8">
      <c r="A261" s="30"/>
      <c r="B261" s="30"/>
      <c r="C261" s="10"/>
      <c r="D261" s="30"/>
      <c r="E261" s="30"/>
      <c r="F261" s="30"/>
      <c r="G261" s="30"/>
      <c r="H261" s="30"/>
      <c r="I261" s="30"/>
      <c r="J261" s="30"/>
    </row>
    <row r="262" spans="1:10" ht="13.8">
      <c r="A262" s="30"/>
      <c r="B262" s="30"/>
      <c r="C262" s="10"/>
      <c r="D262" s="30"/>
      <c r="E262" s="30"/>
      <c r="F262" s="30"/>
      <c r="G262" s="30"/>
      <c r="H262" s="30"/>
      <c r="I262" s="30"/>
      <c r="J262" s="30"/>
    </row>
    <row r="263" spans="1:10" ht="13.8">
      <c r="A263" s="30"/>
      <c r="B263" s="30"/>
      <c r="C263" s="10"/>
      <c r="D263" s="30"/>
      <c r="E263" s="30"/>
      <c r="F263" s="30"/>
      <c r="G263" s="30"/>
      <c r="H263" s="30"/>
      <c r="I263" s="30"/>
      <c r="J263" s="30"/>
    </row>
    <row r="264" spans="1:10" ht="13.8">
      <c r="A264" s="30"/>
      <c r="B264" s="30"/>
      <c r="C264" s="10"/>
      <c r="D264" s="30"/>
      <c r="E264" s="30"/>
      <c r="F264" s="30"/>
      <c r="G264" s="30"/>
      <c r="H264" s="30"/>
      <c r="I264" s="30"/>
      <c r="J264" s="30"/>
    </row>
    <row r="265" spans="1:10" ht="13.8">
      <c r="A265" s="30"/>
      <c r="B265" s="30"/>
      <c r="C265" s="10"/>
      <c r="D265" s="30"/>
      <c r="E265" s="30"/>
      <c r="F265" s="30"/>
      <c r="G265" s="30"/>
      <c r="H265" s="30"/>
      <c r="I265" s="30"/>
      <c r="J265" s="30"/>
    </row>
    <row r="266" spans="1:10" ht="13.8">
      <c r="A266" s="30"/>
      <c r="B266" s="30"/>
      <c r="C266" s="10"/>
      <c r="D266" s="30"/>
      <c r="E266" s="30"/>
      <c r="F266" s="30"/>
      <c r="G266" s="30"/>
      <c r="H266" s="30"/>
      <c r="I266" s="30"/>
      <c r="J266" s="30"/>
    </row>
    <row r="267" spans="1:10" ht="13.8">
      <c r="A267" s="30"/>
      <c r="B267" s="30"/>
      <c r="C267" s="10"/>
      <c r="D267" s="30"/>
      <c r="E267" s="30"/>
      <c r="F267" s="30"/>
      <c r="G267" s="30"/>
      <c r="H267" s="30"/>
      <c r="I267" s="30"/>
      <c r="J267" s="30"/>
    </row>
    <row r="268" spans="1:10" ht="13.8">
      <c r="A268" s="30"/>
      <c r="B268" s="30"/>
      <c r="C268" s="10"/>
      <c r="D268" s="30"/>
      <c r="E268" s="30"/>
      <c r="F268" s="30"/>
      <c r="G268" s="30"/>
      <c r="H268" s="30"/>
      <c r="I268" s="30"/>
      <c r="J268" s="30"/>
    </row>
    <row r="269" spans="1:10" ht="13.8">
      <c r="A269" s="30"/>
      <c r="B269" s="30"/>
      <c r="C269" s="10"/>
      <c r="D269" s="30"/>
      <c r="E269" s="30"/>
      <c r="F269" s="30"/>
      <c r="G269" s="30"/>
      <c r="H269" s="30"/>
      <c r="I269" s="30"/>
      <c r="J269" s="30"/>
    </row>
    <row r="270" spans="1:10" ht="13.8">
      <c r="A270" s="30"/>
      <c r="B270" s="30"/>
      <c r="C270" s="10"/>
      <c r="D270" s="30"/>
      <c r="E270" s="30"/>
      <c r="F270" s="30"/>
      <c r="G270" s="30"/>
      <c r="H270" s="30"/>
      <c r="I270" s="30"/>
      <c r="J270" s="30"/>
    </row>
    <row r="271" spans="1:10" ht="13.8">
      <c r="A271" s="30"/>
      <c r="B271" s="30"/>
      <c r="C271" s="10"/>
      <c r="D271" s="30"/>
      <c r="E271" s="30"/>
      <c r="F271" s="30"/>
      <c r="G271" s="30"/>
      <c r="H271" s="30"/>
      <c r="I271" s="30"/>
      <c r="J271" s="30"/>
    </row>
    <row r="272" spans="1:10" ht="13.8">
      <c r="A272" s="30"/>
      <c r="B272" s="30"/>
      <c r="C272" s="10"/>
      <c r="D272" s="30"/>
      <c r="E272" s="30"/>
      <c r="F272" s="30"/>
      <c r="G272" s="30"/>
      <c r="H272" s="30"/>
      <c r="I272" s="30"/>
      <c r="J272" s="30"/>
    </row>
    <row r="273" spans="1:10" ht="13.8">
      <c r="A273" s="30"/>
      <c r="B273" s="30"/>
      <c r="C273" s="10"/>
      <c r="D273" s="30"/>
      <c r="E273" s="30"/>
      <c r="F273" s="30"/>
      <c r="G273" s="30"/>
      <c r="H273" s="30"/>
      <c r="I273" s="30"/>
      <c r="J273" s="30"/>
    </row>
    <row r="274" spans="1:10" ht="13.8">
      <c r="A274" s="30"/>
      <c r="B274" s="30"/>
      <c r="C274" s="10"/>
      <c r="D274" s="30"/>
      <c r="E274" s="30"/>
      <c r="F274" s="30"/>
      <c r="G274" s="30"/>
      <c r="H274" s="30"/>
      <c r="I274" s="30"/>
      <c r="J274" s="30"/>
    </row>
    <row r="275" spans="1:10" ht="13.8">
      <c r="A275" s="30"/>
      <c r="B275" s="30"/>
      <c r="C275" s="10"/>
      <c r="D275" s="30"/>
      <c r="E275" s="30"/>
      <c r="F275" s="30"/>
      <c r="G275" s="30"/>
      <c r="H275" s="30"/>
      <c r="I275" s="30"/>
      <c r="J275" s="30"/>
    </row>
    <row r="276" spans="1:10" ht="13.8">
      <c r="A276" s="30"/>
      <c r="B276" s="30"/>
      <c r="C276" s="10"/>
      <c r="D276" s="30"/>
      <c r="E276" s="30"/>
      <c r="F276" s="30"/>
      <c r="G276" s="30"/>
      <c r="H276" s="30"/>
      <c r="I276" s="30"/>
      <c r="J276" s="30"/>
    </row>
    <row r="277" spans="1:10" ht="13.8">
      <c r="A277" s="30"/>
      <c r="B277" s="30"/>
      <c r="C277" s="10"/>
      <c r="D277" s="30"/>
      <c r="E277" s="30"/>
      <c r="F277" s="30"/>
      <c r="G277" s="30"/>
      <c r="H277" s="30"/>
      <c r="I277" s="30"/>
      <c r="J277" s="30"/>
    </row>
    <row r="278" spans="1:10" ht="13.8">
      <c r="A278" s="30"/>
      <c r="B278" s="30"/>
      <c r="C278" s="10"/>
      <c r="D278" s="30"/>
      <c r="E278" s="30"/>
      <c r="F278" s="30"/>
      <c r="G278" s="30"/>
      <c r="H278" s="30"/>
      <c r="I278" s="30"/>
      <c r="J278" s="30"/>
    </row>
    <row r="279" spans="1:10" ht="13.8">
      <c r="A279" s="30"/>
      <c r="B279" s="30"/>
      <c r="C279" s="10"/>
      <c r="D279" s="30"/>
      <c r="E279" s="30"/>
      <c r="F279" s="30"/>
      <c r="G279" s="30"/>
      <c r="H279" s="30"/>
      <c r="I279" s="30"/>
      <c r="J279" s="30"/>
    </row>
    <row r="280" spans="1:10" ht="13.8">
      <c r="A280" s="30"/>
      <c r="B280" s="30"/>
      <c r="C280" s="10"/>
      <c r="D280" s="30"/>
      <c r="E280" s="30"/>
      <c r="F280" s="30"/>
      <c r="G280" s="30"/>
      <c r="H280" s="30"/>
      <c r="I280" s="30"/>
      <c r="J280" s="30"/>
    </row>
    <row r="281" spans="1:10" ht="13.8">
      <c r="A281" s="30"/>
      <c r="B281" s="30"/>
      <c r="C281" s="10"/>
      <c r="D281" s="30"/>
      <c r="E281" s="30"/>
      <c r="F281" s="30"/>
      <c r="G281" s="30"/>
      <c r="H281" s="30"/>
      <c r="I281" s="30"/>
      <c r="J281" s="30"/>
    </row>
    <row r="282" spans="1:10" ht="13.8">
      <c r="A282" s="30"/>
      <c r="B282" s="30"/>
      <c r="C282" s="10"/>
      <c r="D282" s="30"/>
      <c r="E282" s="30"/>
      <c r="F282" s="30"/>
      <c r="G282" s="30"/>
      <c r="H282" s="30"/>
      <c r="I282" s="30"/>
      <c r="J282" s="30"/>
    </row>
    <row r="283" spans="1:10" ht="13.8">
      <c r="A283" s="30"/>
      <c r="B283" s="30"/>
      <c r="C283" s="10"/>
      <c r="D283" s="30"/>
      <c r="E283" s="30"/>
      <c r="F283" s="30"/>
      <c r="G283" s="30"/>
      <c r="H283" s="30"/>
      <c r="I283" s="30"/>
      <c r="J283" s="30"/>
    </row>
    <row r="284" spans="1:10" ht="13.8">
      <c r="A284" s="30"/>
      <c r="B284" s="30"/>
      <c r="C284" s="10"/>
      <c r="D284" s="30"/>
      <c r="E284" s="30"/>
      <c r="F284" s="30"/>
      <c r="G284" s="30"/>
      <c r="H284" s="30"/>
      <c r="I284" s="30"/>
      <c r="J284" s="30"/>
    </row>
    <row r="285" spans="1:10" ht="13.8">
      <c r="A285" s="30"/>
      <c r="B285" s="30"/>
      <c r="C285" s="10"/>
      <c r="D285" s="30"/>
      <c r="E285" s="30"/>
      <c r="F285" s="30"/>
      <c r="G285" s="30"/>
      <c r="H285" s="30"/>
      <c r="I285" s="30"/>
      <c r="J285" s="30"/>
    </row>
    <row r="286" spans="1:10" ht="13.8">
      <c r="A286" s="30"/>
      <c r="B286" s="30"/>
      <c r="C286" s="10"/>
      <c r="D286" s="30"/>
      <c r="E286" s="30"/>
      <c r="F286" s="30"/>
      <c r="G286" s="30"/>
      <c r="H286" s="30"/>
      <c r="I286" s="30"/>
      <c r="J286" s="30"/>
    </row>
    <row r="287" spans="1:10" ht="13.8">
      <c r="A287" s="30"/>
      <c r="B287" s="30"/>
      <c r="C287" s="10"/>
      <c r="D287" s="30"/>
      <c r="E287" s="30"/>
      <c r="F287" s="30"/>
      <c r="G287" s="30"/>
      <c r="H287" s="30"/>
      <c r="I287" s="30"/>
      <c r="J287" s="30"/>
    </row>
    <row r="288" spans="1:10" ht="13.8">
      <c r="A288" s="30"/>
      <c r="B288" s="30"/>
      <c r="C288" s="10"/>
      <c r="D288" s="30"/>
      <c r="E288" s="30"/>
      <c r="F288" s="30"/>
      <c r="G288" s="30"/>
      <c r="H288" s="30"/>
      <c r="I288" s="30"/>
      <c r="J288" s="30"/>
    </row>
    <row r="289" spans="1:10" ht="13.8">
      <c r="A289" s="30"/>
      <c r="B289" s="30"/>
      <c r="C289" s="10"/>
      <c r="D289" s="30"/>
      <c r="E289" s="30"/>
      <c r="F289" s="30"/>
      <c r="G289" s="30"/>
      <c r="H289" s="30"/>
      <c r="I289" s="30"/>
      <c r="J289" s="30"/>
    </row>
    <row r="290" spans="1:10" ht="13.8">
      <c r="A290" s="30"/>
      <c r="B290" s="30"/>
      <c r="C290" s="10"/>
      <c r="D290" s="30"/>
      <c r="E290" s="30"/>
      <c r="F290" s="30"/>
      <c r="G290" s="30"/>
      <c r="H290" s="30"/>
      <c r="I290" s="30"/>
      <c r="J290" s="30"/>
    </row>
    <row r="291" spans="1:10" ht="13.8">
      <c r="A291" s="30"/>
      <c r="B291" s="30"/>
      <c r="C291" s="10"/>
      <c r="D291" s="30"/>
      <c r="E291" s="30"/>
      <c r="F291" s="30"/>
      <c r="G291" s="30"/>
      <c r="H291" s="30"/>
      <c r="I291" s="30"/>
      <c r="J291" s="30"/>
    </row>
    <row r="292" spans="1:10" ht="13.8">
      <c r="A292" s="30"/>
      <c r="B292" s="30"/>
      <c r="C292" s="10"/>
      <c r="D292" s="30"/>
      <c r="E292" s="30"/>
      <c r="F292" s="30"/>
      <c r="G292" s="30"/>
      <c r="H292" s="30"/>
      <c r="I292" s="30"/>
      <c r="J292" s="30"/>
    </row>
    <row r="293" spans="1:10" ht="13.8">
      <c r="A293" s="30"/>
      <c r="B293" s="30"/>
      <c r="C293" s="10"/>
      <c r="D293" s="30"/>
      <c r="E293" s="30"/>
      <c r="F293" s="30"/>
      <c r="G293" s="30"/>
      <c r="H293" s="30"/>
      <c r="I293" s="30"/>
      <c r="J293" s="30"/>
    </row>
    <row r="294" spans="1:10" ht="13.8">
      <c r="A294" s="30"/>
      <c r="B294" s="30"/>
      <c r="C294" s="10"/>
      <c r="D294" s="30"/>
      <c r="E294" s="30"/>
      <c r="F294" s="30"/>
      <c r="G294" s="30"/>
      <c r="H294" s="30"/>
      <c r="I294" s="30"/>
      <c r="J294" s="30"/>
    </row>
    <row r="295" spans="1:10" ht="13.8">
      <c r="A295" s="30"/>
      <c r="B295" s="30"/>
      <c r="C295" s="10"/>
      <c r="D295" s="30"/>
      <c r="E295" s="30"/>
      <c r="F295" s="30"/>
      <c r="G295" s="30"/>
      <c r="H295" s="30"/>
      <c r="I295" s="30"/>
      <c r="J295" s="30"/>
    </row>
    <row r="296" spans="1:10" ht="13.8">
      <c r="A296" s="30"/>
      <c r="B296" s="30"/>
      <c r="C296" s="10"/>
      <c r="D296" s="30"/>
      <c r="E296" s="30"/>
      <c r="F296" s="30"/>
      <c r="G296" s="30"/>
      <c r="H296" s="30"/>
      <c r="I296" s="30"/>
      <c r="J296" s="30"/>
    </row>
    <row r="297" spans="1:10" ht="13.8">
      <c r="A297" s="30"/>
      <c r="B297" s="30"/>
      <c r="C297" s="10"/>
      <c r="D297" s="30"/>
      <c r="E297" s="30"/>
      <c r="F297" s="30"/>
      <c r="G297" s="30"/>
      <c r="H297" s="30"/>
      <c r="I297" s="30"/>
      <c r="J297" s="30"/>
    </row>
    <row r="298" spans="1:10" ht="13.8">
      <c r="A298" s="30"/>
      <c r="B298" s="30"/>
      <c r="C298" s="10"/>
      <c r="D298" s="30"/>
      <c r="E298" s="30"/>
      <c r="F298" s="30"/>
      <c r="G298" s="30"/>
      <c r="H298" s="30"/>
      <c r="I298" s="30"/>
      <c r="J298" s="30"/>
    </row>
    <row r="299" spans="1:10" ht="13.8">
      <c r="A299" s="30"/>
      <c r="B299" s="30"/>
      <c r="C299" s="10"/>
      <c r="D299" s="30"/>
      <c r="E299" s="30"/>
      <c r="F299" s="30"/>
      <c r="G299" s="30"/>
      <c r="H299" s="30"/>
      <c r="I299" s="30"/>
      <c r="J299" s="30"/>
    </row>
    <row r="300" spans="1:10" ht="13.8">
      <c r="A300" s="30"/>
      <c r="B300" s="30"/>
      <c r="C300" s="10"/>
      <c r="D300" s="30"/>
      <c r="E300" s="30"/>
      <c r="F300" s="30"/>
      <c r="G300" s="30"/>
      <c r="H300" s="30"/>
      <c r="I300" s="30"/>
      <c r="J300" s="30"/>
    </row>
    <row r="301" spans="1:10" ht="13.8">
      <c r="A301" s="30"/>
      <c r="B301" s="30"/>
      <c r="C301" s="10"/>
      <c r="D301" s="30"/>
      <c r="E301" s="30"/>
      <c r="F301" s="30"/>
      <c r="G301" s="30"/>
      <c r="H301" s="30"/>
      <c r="I301" s="30"/>
      <c r="J301" s="30"/>
    </row>
    <row r="302" spans="1:10" ht="13.8">
      <c r="A302" s="30"/>
      <c r="B302" s="30"/>
      <c r="C302" s="10"/>
      <c r="D302" s="30"/>
      <c r="E302" s="30"/>
      <c r="F302" s="30"/>
      <c r="G302" s="30"/>
      <c r="H302" s="30"/>
      <c r="I302" s="30"/>
      <c r="J302" s="30"/>
    </row>
    <row r="303" spans="1:10" ht="13.8">
      <c r="A303" s="30"/>
      <c r="B303" s="30"/>
      <c r="C303" s="10"/>
      <c r="D303" s="30"/>
      <c r="E303" s="30"/>
      <c r="F303" s="30"/>
      <c r="G303" s="30"/>
      <c r="H303" s="30"/>
      <c r="I303" s="30"/>
      <c r="J303" s="30"/>
    </row>
    <row r="304" spans="1:10" ht="13.8">
      <c r="A304" s="30"/>
      <c r="B304" s="30"/>
      <c r="C304" s="10"/>
      <c r="D304" s="30"/>
      <c r="E304" s="30"/>
      <c r="F304" s="30"/>
      <c r="G304" s="30"/>
      <c r="H304" s="30"/>
      <c r="I304" s="30"/>
      <c r="J304" s="30"/>
    </row>
    <row r="305" spans="1:10" ht="13.8">
      <c r="A305" s="30"/>
      <c r="B305" s="30"/>
      <c r="C305" s="10"/>
      <c r="D305" s="30"/>
      <c r="E305" s="30"/>
      <c r="F305" s="30"/>
      <c r="G305" s="30"/>
      <c r="H305" s="30"/>
      <c r="I305" s="30"/>
      <c r="J305" s="30"/>
    </row>
    <row r="306" spans="1:10" ht="13.8">
      <c r="A306" s="30"/>
      <c r="B306" s="30"/>
      <c r="C306" s="10"/>
      <c r="D306" s="30"/>
      <c r="E306" s="30"/>
      <c r="F306" s="30"/>
      <c r="G306" s="30"/>
      <c r="H306" s="30"/>
      <c r="I306" s="30"/>
      <c r="J306" s="30"/>
    </row>
    <row r="307" spans="1:10" ht="13.8">
      <c r="A307" s="30"/>
      <c r="B307" s="30"/>
      <c r="C307" s="10"/>
      <c r="D307" s="30"/>
      <c r="E307" s="30"/>
      <c r="F307" s="30"/>
      <c r="G307" s="30"/>
      <c r="H307" s="30"/>
      <c r="I307" s="30"/>
      <c r="J307" s="30"/>
    </row>
    <row r="308" spans="1:10" ht="13.8">
      <c r="A308" s="30"/>
      <c r="B308" s="30"/>
      <c r="C308" s="10"/>
      <c r="D308" s="30"/>
      <c r="E308" s="30"/>
      <c r="F308" s="30"/>
      <c r="G308" s="30"/>
      <c r="H308" s="30"/>
      <c r="I308" s="30"/>
      <c r="J308" s="30"/>
    </row>
    <row r="309" spans="1:10" ht="13.8">
      <c r="A309" s="30"/>
      <c r="B309" s="30"/>
      <c r="C309" s="10"/>
      <c r="D309" s="30"/>
      <c r="E309" s="30"/>
      <c r="F309" s="30"/>
      <c r="G309" s="30"/>
      <c r="H309" s="30"/>
      <c r="I309" s="30"/>
      <c r="J309" s="30"/>
    </row>
    <row r="310" spans="1:10" ht="13.8">
      <c r="A310" s="30"/>
      <c r="B310" s="30"/>
      <c r="C310" s="10"/>
      <c r="D310" s="30"/>
      <c r="E310" s="30"/>
      <c r="F310" s="30"/>
      <c r="G310" s="30"/>
      <c r="H310" s="30"/>
      <c r="I310" s="30"/>
      <c r="J310" s="30"/>
    </row>
    <row r="311" spans="1:10" ht="13.8">
      <c r="A311" s="30"/>
      <c r="B311" s="30"/>
      <c r="C311" s="10"/>
      <c r="D311" s="30"/>
      <c r="E311" s="30"/>
      <c r="F311" s="30"/>
      <c r="G311" s="30"/>
      <c r="H311" s="30"/>
      <c r="I311" s="30"/>
      <c r="J311" s="30"/>
    </row>
    <row r="312" spans="1:10" ht="13.8">
      <c r="A312" s="30"/>
      <c r="B312" s="30"/>
      <c r="C312" s="10"/>
      <c r="D312" s="30"/>
      <c r="E312" s="30"/>
      <c r="F312" s="30"/>
      <c r="G312" s="30"/>
      <c r="H312" s="30"/>
      <c r="I312" s="30"/>
      <c r="J312" s="30"/>
    </row>
    <row r="313" spans="1:10" ht="13.8">
      <c r="A313" s="30"/>
      <c r="B313" s="30"/>
      <c r="C313" s="10"/>
      <c r="D313" s="30"/>
      <c r="E313" s="30"/>
      <c r="F313" s="30"/>
      <c r="G313" s="30"/>
      <c r="H313" s="30"/>
      <c r="I313" s="30"/>
      <c r="J313" s="30"/>
    </row>
    <row r="314" spans="1:10" ht="13.8">
      <c r="A314" s="30"/>
      <c r="B314" s="30"/>
      <c r="C314" s="10"/>
      <c r="D314" s="30"/>
      <c r="E314" s="30"/>
      <c r="F314" s="30"/>
      <c r="G314" s="30"/>
      <c r="H314" s="30"/>
      <c r="I314" s="30"/>
      <c r="J314" s="30"/>
    </row>
    <row r="315" spans="1:10" ht="13.8">
      <c r="A315" s="30"/>
      <c r="B315" s="30"/>
      <c r="C315" s="10"/>
      <c r="D315" s="30"/>
      <c r="E315" s="30"/>
      <c r="F315" s="30"/>
      <c r="G315" s="30"/>
      <c r="H315" s="30"/>
      <c r="I315" s="30"/>
      <c r="J315" s="30"/>
    </row>
    <row r="316" spans="1:10" ht="13.8">
      <c r="A316" s="30"/>
      <c r="B316" s="30"/>
      <c r="C316" s="10"/>
      <c r="D316" s="30"/>
      <c r="E316" s="30"/>
      <c r="F316" s="30"/>
      <c r="G316" s="30"/>
      <c r="H316" s="30"/>
      <c r="I316" s="30"/>
      <c r="J316" s="30"/>
    </row>
    <row r="317" spans="1:10" ht="13.8">
      <c r="A317" s="30"/>
      <c r="B317" s="30"/>
      <c r="C317" s="10"/>
      <c r="D317" s="30"/>
      <c r="E317" s="30"/>
      <c r="F317" s="30"/>
      <c r="G317" s="30"/>
      <c r="H317" s="30"/>
      <c r="I317" s="30"/>
      <c r="J317" s="30"/>
    </row>
    <row r="318" spans="1:10" ht="13.8">
      <c r="A318" s="30"/>
      <c r="B318" s="30"/>
      <c r="C318" s="10"/>
      <c r="D318" s="30"/>
      <c r="E318" s="30"/>
      <c r="F318" s="30"/>
      <c r="G318" s="30"/>
      <c r="H318" s="30"/>
      <c r="I318" s="30"/>
      <c r="J318" s="30"/>
    </row>
    <row r="319" spans="1:10" ht="13.8">
      <c r="A319" s="30"/>
      <c r="B319" s="30"/>
      <c r="C319" s="10"/>
      <c r="D319" s="30"/>
      <c r="E319" s="30"/>
      <c r="F319" s="30"/>
      <c r="G319" s="30"/>
      <c r="H319" s="30"/>
      <c r="I319" s="30"/>
      <c r="J319" s="30"/>
    </row>
    <row r="320" spans="1:10" ht="13.8">
      <c r="A320" s="30"/>
      <c r="B320" s="30"/>
      <c r="C320" s="10"/>
      <c r="D320" s="30"/>
      <c r="E320" s="30"/>
      <c r="F320" s="30"/>
      <c r="G320" s="30"/>
      <c r="H320" s="30"/>
      <c r="I320" s="30"/>
      <c r="J320" s="30"/>
    </row>
    <row r="321" spans="1:10" ht="13.8">
      <c r="A321" s="30"/>
      <c r="B321" s="30"/>
      <c r="C321" s="10"/>
      <c r="D321" s="30"/>
      <c r="E321" s="30"/>
      <c r="F321" s="30"/>
      <c r="G321" s="30"/>
      <c r="H321" s="30"/>
      <c r="I321" s="30"/>
      <c r="J321" s="30"/>
    </row>
    <row r="322" spans="1:10" ht="13.8">
      <c r="A322" s="30"/>
      <c r="B322" s="30"/>
      <c r="C322" s="10"/>
      <c r="D322" s="30"/>
      <c r="E322" s="30"/>
      <c r="F322" s="30"/>
      <c r="G322" s="30"/>
      <c r="H322" s="30"/>
      <c r="I322" s="30"/>
      <c r="J322" s="30"/>
    </row>
    <row r="323" spans="1:10" ht="13.8">
      <c r="A323" s="30"/>
      <c r="B323" s="30"/>
      <c r="C323" s="10"/>
      <c r="D323" s="30"/>
      <c r="E323" s="30"/>
      <c r="F323" s="30"/>
      <c r="G323" s="30"/>
      <c r="H323" s="30"/>
      <c r="I323" s="30"/>
      <c r="J323" s="30"/>
    </row>
    <row r="324" spans="1:10" ht="13.8">
      <c r="A324" s="30"/>
      <c r="B324" s="30"/>
      <c r="C324" s="10"/>
      <c r="D324" s="30"/>
      <c r="E324" s="30"/>
      <c r="F324" s="30"/>
      <c r="G324" s="30"/>
      <c r="H324" s="30"/>
      <c r="I324" s="30"/>
      <c r="J324" s="30"/>
    </row>
    <row r="325" spans="1:10" ht="13.8">
      <c r="A325" s="30"/>
      <c r="B325" s="30"/>
      <c r="C325" s="10"/>
      <c r="D325" s="30"/>
      <c r="E325" s="30"/>
      <c r="F325" s="30"/>
      <c r="G325" s="30"/>
      <c r="H325" s="30"/>
      <c r="I325" s="30"/>
      <c r="J325" s="30"/>
    </row>
    <row r="326" spans="1:10" ht="13.8">
      <c r="A326" s="30"/>
      <c r="B326" s="30"/>
      <c r="C326" s="10"/>
      <c r="D326" s="30"/>
      <c r="E326" s="30"/>
      <c r="F326" s="30"/>
      <c r="G326" s="30"/>
      <c r="H326" s="30"/>
      <c r="I326" s="30"/>
      <c r="J326" s="30"/>
    </row>
    <row r="327" spans="1:10" ht="13.8">
      <c r="A327" s="30"/>
      <c r="B327" s="30"/>
      <c r="C327" s="10"/>
      <c r="D327" s="30"/>
      <c r="E327" s="30"/>
      <c r="F327" s="30"/>
      <c r="G327" s="30"/>
      <c r="H327" s="30"/>
      <c r="I327" s="30"/>
      <c r="J327" s="30"/>
    </row>
    <row r="328" spans="1:10" ht="13.8">
      <c r="A328" s="30"/>
      <c r="B328" s="30"/>
      <c r="C328" s="10"/>
      <c r="D328" s="30"/>
      <c r="E328" s="30"/>
      <c r="F328" s="30"/>
      <c r="G328" s="30"/>
      <c r="H328" s="30"/>
      <c r="I328" s="30"/>
      <c r="J328" s="30"/>
    </row>
    <row r="329" spans="1:10" ht="13.8">
      <c r="A329" s="30"/>
      <c r="B329" s="30"/>
      <c r="C329" s="10"/>
      <c r="D329" s="30"/>
      <c r="E329" s="30"/>
      <c r="F329" s="30"/>
      <c r="G329" s="30"/>
      <c r="H329" s="30"/>
      <c r="I329" s="30"/>
      <c r="J329" s="30"/>
    </row>
    <row r="330" spans="1:10" ht="13.8">
      <c r="A330" s="30"/>
      <c r="B330" s="30"/>
      <c r="C330" s="10"/>
      <c r="D330" s="30"/>
      <c r="E330" s="30"/>
      <c r="F330" s="30"/>
      <c r="G330" s="30"/>
      <c r="H330" s="30"/>
      <c r="I330" s="30"/>
      <c r="J330" s="30"/>
    </row>
    <row r="331" spans="1:10" ht="13.8">
      <c r="A331" s="30"/>
      <c r="B331" s="30"/>
      <c r="C331" s="10"/>
      <c r="D331" s="30"/>
      <c r="E331" s="30"/>
      <c r="F331" s="30"/>
      <c r="G331" s="30"/>
      <c r="H331" s="30"/>
      <c r="I331" s="30"/>
      <c r="J331" s="30"/>
    </row>
    <row r="332" spans="1:10" ht="13.8">
      <c r="A332" s="30"/>
      <c r="B332" s="30"/>
      <c r="C332" s="10"/>
      <c r="D332" s="30"/>
      <c r="E332" s="30"/>
      <c r="F332" s="30"/>
      <c r="G332" s="30"/>
      <c r="H332" s="30"/>
      <c r="I332" s="30"/>
      <c r="J332" s="30"/>
    </row>
    <row r="333" spans="1:10" ht="13.8">
      <c r="A333" s="30"/>
      <c r="B333" s="30"/>
      <c r="C333" s="10"/>
      <c r="D333" s="30"/>
      <c r="E333" s="30"/>
      <c r="F333" s="30"/>
      <c r="G333" s="30"/>
      <c r="H333" s="30"/>
      <c r="I333" s="30"/>
      <c r="J333" s="30"/>
    </row>
    <row r="334" spans="1:10" ht="13.8">
      <c r="A334" s="30"/>
      <c r="B334" s="30"/>
      <c r="C334" s="10"/>
      <c r="D334" s="30"/>
      <c r="E334" s="30"/>
      <c r="F334" s="30"/>
      <c r="G334" s="30"/>
      <c r="H334" s="30"/>
      <c r="I334" s="30"/>
      <c r="J334" s="30"/>
    </row>
    <row r="335" spans="1:10" ht="13.8">
      <c r="A335" s="30"/>
      <c r="B335" s="30"/>
      <c r="C335" s="10"/>
      <c r="D335" s="30"/>
      <c r="E335" s="30"/>
      <c r="F335" s="30"/>
      <c r="G335" s="30"/>
      <c r="H335" s="30"/>
      <c r="I335" s="30"/>
      <c r="J335" s="30"/>
    </row>
    <row r="336" spans="1:10" ht="13.8">
      <c r="A336" s="30"/>
      <c r="B336" s="30"/>
      <c r="C336" s="10"/>
      <c r="D336" s="30"/>
      <c r="E336" s="30"/>
      <c r="F336" s="30"/>
      <c r="G336" s="30"/>
      <c r="H336" s="30"/>
      <c r="I336" s="30"/>
      <c r="J336" s="30"/>
    </row>
    <row r="337" spans="1:10" ht="13.8">
      <c r="A337" s="30"/>
      <c r="B337" s="30"/>
      <c r="C337" s="10"/>
      <c r="D337" s="30"/>
      <c r="E337" s="30"/>
      <c r="F337" s="30"/>
      <c r="G337" s="30"/>
      <c r="H337" s="30"/>
      <c r="I337" s="30"/>
      <c r="J337" s="30"/>
    </row>
    <row r="338" spans="1:10" ht="13.8">
      <c r="A338" s="30"/>
      <c r="B338" s="30"/>
      <c r="C338" s="10"/>
      <c r="D338" s="30"/>
      <c r="E338" s="30"/>
      <c r="F338" s="30"/>
      <c r="G338" s="30"/>
      <c r="H338" s="30"/>
      <c r="I338" s="30"/>
      <c r="J338" s="30"/>
    </row>
    <row r="339" spans="1:10" ht="13.8">
      <c r="A339" s="30"/>
      <c r="B339" s="30"/>
      <c r="C339" s="10"/>
      <c r="D339" s="30"/>
      <c r="E339" s="30"/>
      <c r="F339" s="30"/>
      <c r="G339" s="30"/>
      <c r="H339" s="30"/>
      <c r="I339" s="30"/>
      <c r="J339" s="30"/>
    </row>
    <row r="340" spans="1:10" ht="13.8">
      <c r="A340" s="30"/>
      <c r="B340" s="30"/>
      <c r="C340" s="10"/>
      <c r="D340" s="30"/>
      <c r="E340" s="30"/>
      <c r="F340" s="30"/>
      <c r="G340" s="30"/>
      <c r="H340" s="30"/>
      <c r="I340" s="30"/>
      <c r="J340" s="30"/>
    </row>
    <row r="341" spans="1:10" ht="13.8">
      <c r="A341" s="30"/>
      <c r="B341" s="30"/>
      <c r="C341" s="10"/>
      <c r="D341" s="30"/>
      <c r="E341" s="30"/>
      <c r="F341" s="30"/>
      <c r="G341" s="30"/>
      <c r="H341" s="30"/>
      <c r="I341" s="30"/>
      <c r="J341" s="30"/>
    </row>
    <row r="342" spans="1:10" ht="13.8">
      <c r="A342" s="30"/>
      <c r="B342" s="30"/>
      <c r="C342" s="10"/>
      <c r="D342" s="30"/>
      <c r="E342" s="30"/>
      <c r="F342" s="30"/>
      <c r="G342" s="30"/>
      <c r="H342" s="30"/>
      <c r="I342" s="30"/>
      <c r="J342" s="30"/>
    </row>
    <row r="343" spans="1:10" ht="13.8">
      <c r="A343" s="30"/>
      <c r="B343" s="30"/>
      <c r="C343" s="10"/>
      <c r="D343" s="30"/>
      <c r="E343" s="30"/>
      <c r="F343" s="30"/>
      <c r="G343" s="30"/>
      <c r="H343" s="30"/>
      <c r="I343" s="30"/>
      <c r="J343" s="30"/>
    </row>
    <row r="344" spans="1:10" ht="13.8">
      <c r="A344" s="30"/>
      <c r="B344" s="30"/>
      <c r="C344" s="10"/>
      <c r="D344" s="30"/>
      <c r="E344" s="30"/>
      <c r="F344" s="30"/>
      <c r="G344" s="30"/>
      <c r="H344" s="30"/>
      <c r="I344" s="30"/>
      <c r="J344" s="30"/>
    </row>
    <row r="345" spans="1:10" ht="13.8">
      <c r="A345" s="30"/>
      <c r="B345" s="30"/>
      <c r="C345" s="10"/>
      <c r="D345" s="30"/>
      <c r="E345" s="30"/>
      <c r="F345" s="30"/>
      <c r="G345" s="30"/>
      <c r="H345" s="30"/>
      <c r="I345" s="30"/>
      <c r="J345" s="30"/>
    </row>
    <row r="346" spans="1:10" ht="13.8">
      <c r="A346" s="30"/>
      <c r="B346" s="30"/>
      <c r="C346" s="10"/>
      <c r="D346" s="30"/>
      <c r="E346" s="30"/>
      <c r="F346" s="30"/>
      <c r="G346" s="30"/>
      <c r="H346" s="30"/>
      <c r="I346" s="30"/>
      <c r="J346" s="30"/>
    </row>
    <row r="347" spans="1:10" ht="13.8">
      <c r="A347" s="30"/>
      <c r="B347" s="30"/>
      <c r="C347" s="10"/>
      <c r="D347" s="30"/>
      <c r="E347" s="30"/>
      <c r="F347" s="30"/>
      <c r="G347" s="30"/>
      <c r="H347" s="30"/>
      <c r="I347" s="30"/>
      <c r="J347" s="30"/>
    </row>
    <row r="348" spans="1:10" ht="13.8">
      <c r="A348" s="30"/>
      <c r="B348" s="30"/>
      <c r="C348" s="10"/>
      <c r="D348" s="30"/>
      <c r="E348" s="30"/>
      <c r="F348" s="30"/>
      <c r="G348" s="30"/>
      <c r="H348" s="30"/>
      <c r="I348" s="30"/>
      <c r="J348" s="30"/>
    </row>
    <row r="349" spans="1:10" ht="13.8">
      <c r="A349" s="30"/>
      <c r="B349" s="30"/>
      <c r="C349" s="10"/>
      <c r="D349" s="30"/>
      <c r="E349" s="30"/>
      <c r="F349" s="30"/>
      <c r="G349" s="30"/>
      <c r="H349" s="30"/>
      <c r="I349" s="30"/>
      <c r="J349" s="30"/>
    </row>
    <row r="350" spans="1:10" ht="13.8">
      <c r="A350" s="30"/>
      <c r="B350" s="30"/>
      <c r="C350" s="10"/>
      <c r="D350" s="30"/>
      <c r="E350" s="30"/>
      <c r="F350" s="30"/>
      <c r="G350" s="30"/>
      <c r="H350" s="30"/>
      <c r="I350" s="30"/>
      <c r="J350" s="30"/>
    </row>
    <row r="351" spans="1:10" ht="13.8">
      <c r="A351" s="30"/>
      <c r="B351" s="30"/>
      <c r="C351" s="10"/>
      <c r="D351" s="30"/>
      <c r="E351" s="30"/>
      <c r="F351" s="30"/>
      <c r="G351" s="30"/>
      <c r="H351" s="30"/>
      <c r="I351" s="30"/>
      <c r="J351" s="30"/>
    </row>
    <row r="352" spans="1:10" ht="13.8">
      <c r="A352" s="30"/>
      <c r="B352" s="30"/>
      <c r="C352" s="10"/>
      <c r="D352" s="30"/>
      <c r="E352" s="30"/>
      <c r="F352" s="30"/>
      <c r="G352" s="30"/>
      <c r="H352" s="30"/>
      <c r="I352" s="30"/>
      <c r="J352" s="30"/>
    </row>
    <row r="353" spans="1:10" ht="13.8">
      <c r="A353" s="30"/>
      <c r="B353" s="30"/>
      <c r="C353" s="10"/>
      <c r="D353" s="30"/>
      <c r="E353" s="30"/>
      <c r="F353" s="30"/>
      <c r="G353" s="30"/>
      <c r="H353" s="30"/>
      <c r="I353" s="30"/>
      <c r="J353" s="30"/>
    </row>
    <row r="354" spans="1:10" ht="13.8">
      <c r="A354" s="30"/>
      <c r="B354" s="30"/>
      <c r="C354" s="10"/>
      <c r="D354" s="30"/>
      <c r="E354" s="30"/>
      <c r="F354" s="30"/>
      <c r="G354" s="30"/>
      <c r="H354" s="30"/>
      <c r="I354" s="30"/>
      <c r="J354" s="30"/>
    </row>
    <row r="355" spans="1:10" ht="13.8">
      <c r="A355" s="30"/>
      <c r="B355" s="30"/>
      <c r="C355" s="10"/>
      <c r="D355" s="30"/>
      <c r="E355" s="30"/>
      <c r="F355" s="30"/>
      <c r="G355" s="30"/>
      <c r="H355" s="30"/>
      <c r="I355" s="30"/>
      <c r="J355" s="30"/>
    </row>
    <row r="356" spans="1:10" ht="13.8">
      <c r="A356" s="30"/>
      <c r="B356" s="30"/>
      <c r="C356" s="10"/>
      <c r="D356" s="30"/>
      <c r="E356" s="30"/>
      <c r="F356" s="30"/>
      <c r="G356" s="30"/>
      <c r="H356" s="30"/>
      <c r="I356" s="30"/>
      <c r="J356" s="30"/>
    </row>
    <row r="357" spans="1:10" ht="13.8">
      <c r="A357" s="30"/>
      <c r="B357" s="30"/>
      <c r="C357" s="10"/>
      <c r="D357" s="30"/>
      <c r="E357" s="30"/>
      <c r="F357" s="30"/>
      <c r="G357" s="30"/>
      <c r="H357" s="30"/>
      <c r="I357" s="30"/>
      <c r="J357" s="30"/>
    </row>
    <row r="358" spans="1:10" ht="13.8">
      <c r="A358" s="30"/>
      <c r="B358" s="30"/>
      <c r="C358" s="10"/>
      <c r="D358" s="30"/>
      <c r="E358" s="30"/>
      <c r="F358" s="30"/>
      <c r="G358" s="30"/>
      <c r="H358" s="30"/>
      <c r="I358" s="30"/>
      <c r="J358" s="30"/>
    </row>
    <row r="359" spans="1:10" ht="13.8">
      <c r="A359" s="30"/>
      <c r="B359" s="30"/>
      <c r="C359" s="10"/>
      <c r="D359" s="30"/>
      <c r="E359" s="30"/>
      <c r="F359" s="30"/>
      <c r="G359" s="30"/>
      <c r="H359" s="30"/>
      <c r="I359" s="30"/>
      <c r="J359" s="30"/>
    </row>
    <row r="360" spans="1:10" ht="13.8">
      <c r="A360" s="30"/>
      <c r="B360" s="30"/>
      <c r="C360" s="10"/>
      <c r="D360" s="30"/>
      <c r="E360" s="30"/>
      <c r="F360" s="30"/>
      <c r="G360" s="30"/>
      <c r="H360" s="30"/>
      <c r="I360" s="30"/>
      <c r="J360" s="30"/>
    </row>
    <row r="361" spans="1:10" ht="13.8">
      <c r="A361" s="30"/>
      <c r="B361" s="30"/>
      <c r="C361" s="10"/>
      <c r="D361" s="30"/>
      <c r="E361" s="30"/>
      <c r="F361" s="30"/>
      <c r="G361" s="30"/>
      <c r="H361" s="30"/>
      <c r="I361" s="30"/>
      <c r="J361" s="30"/>
    </row>
    <row r="362" spans="1:10" ht="13.8">
      <c r="A362" s="30"/>
      <c r="B362" s="30"/>
      <c r="C362" s="10"/>
      <c r="D362" s="30"/>
      <c r="E362" s="30"/>
      <c r="F362" s="30"/>
      <c r="G362" s="30"/>
      <c r="H362" s="30"/>
      <c r="I362" s="30"/>
      <c r="J362" s="30"/>
    </row>
    <row r="363" spans="1:10" ht="13.8">
      <c r="A363" s="30"/>
      <c r="B363" s="30"/>
      <c r="C363" s="10"/>
      <c r="D363" s="30"/>
      <c r="E363" s="30"/>
      <c r="F363" s="30"/>
      <c r="G363" s="30"/>
      <c r="H363" s="30"/>
      <c r="I363" s="30"/>
      <c r="J363" s="30"/>
    </row>
    <row r="364" spans="1:10" ht="13.8">
      <c r="A364" s="30"/>
      <c r="B364" s="30"/>
      <c r="C364" s="10"/>
      <c r="D364" s="30"/>
      <c r="E364" s="30"/>
      <c r="F364" s="30"/>
      <c r="G364" s="30"/>
      <c r="H364" s="30"/>
      <c r="I364" s="30"/>
      <c r="J364" s="30"/>
    </row>
    <row r="365" spans="1:10" ht="13.8">
      <c r="A365" s="30"/>
      <c r="B365" s="30"/>
      <c r="C365" s="10"/>
      <c r="D365" s="30"/>
      <c r="E365" s="30"/>
      <c r="F365" s="30"/>
      <c r="G365" s="30"/>
      <c r="H365" s="30"/>
      <c r="I365" s="30"/>
      <c r="J365" s="30"/>
    </row>
    <row r="366" spans="1:10" ht="13.8">
      <c r="A366" s="30"/>
      <c r="B366" s="30"/>
      <c r="C366" s="10"/>
      <c r="D366" s="30"/>
      <c r="E366" s="30"/>
      <c r="F366" s="30"/>
      <c r="G366" s="30"/>
      <c r="H366" s="30"/>
      <c r="I366" s="30"/>
      <c r="J366" s="30"/>
    </row>
    <row r="367" spans="1:10" ht="13.8">
      <c r="A367" s="30"/>
      <c r="B367" s="30"/>
      <c r="C367" s="10"/>
      <c r="D367" s="30"/>
      <c r="E367" s="30"/>
      <c r="F367" s="30"/>
      <c r="G367" s="30"/>
      <c r="H367" s="30"/>
      <c r="I367" s="30"/>
      <c r="J367" s="30"/>
    </row>
    <row r="368" spans="1:10" ht="13.8">
      <c r="A368" s="30"/>
      <c r="B368" s="30"/>
      <c r="C368" s="10"/>
      <c r="D368" s="30"/>
      <c r="E368" s="30"/>
      <c r="F368" s="30"/>
      <c r="G368" s="30"/>
      <c r="H368" s="30"/>
      <c r="I368" s="30"/>
      <c r="J368" s="30"/>
    </row>
    <row r="369" spans="1:10" ht="13.8">
      <c r="A369" s="30"/>
      <c r="B369" s="30"/>
      <c r="C369" s="10"/>
      <c r="D369" s="30"/>
      <c r="E369" s="30"/>
      <c r="F369" s="30"/>
      <c r="G369" s="30"/>
      <c r="H369" s="30"/>
      <c r="I369" s="30"/>
      <c r="J369" s="30"/>
    </row>
    <row r="370" spans="1:10" ht="13.8">
      <c r="A370" s="30"/>
      <c r="B370" s="30"/>
      <c r="C370" s="10"/>
      <c r="D370" s="30"/>
      <c r="E370" s="30"/>
      <c r="F370" s="30"/>
      <c r="G370" s="30"/>
      <c r="H370" s="30"/>
      <c r="I370" s="30"/>
      <c r="J370" s="30"/>
    </row>
    <row r="371" spans="1:10" ht="13.8">
      <c r="A371" s="30"/>
      <c r="B371" s="30"/>
      <c r="C371" s="10"/>
      <c r="D371" s="30"/>
      <c r="E371" s="30"/>
      <c r="F371" s="30"/>
      <c r="G371" s="30"/>
      <c r="H371" s="30"/>
      <c r="I371" s="30"/>
      <c r="J371" s="30"/>
    </row>
    <row r="372" spans="1:10" ht="13.8">
      <c r="A372" s="30"/>
      <c r="B372" s="30"/>
      <c r="C372" s="10"/>
      <c r="D372" s="30"/>
      <c r="E372" s="30"/>
      <c r="F372" s="30"/>
      <c r="G372" s="30"/>
      <c r="H372" s="30"/>
      <c r="I372" s="30"/>
      <c r="J372" s="30"/>
    </row>
    <row r="373" spans="1:10" ht="13.8">
      <c r="A373" s="30"/>
      <c r="B373" s="30"/>
      <c r="C373" s="10"/>
      <c r="D373" s="30"/>
      <c r="E373" s="30"/>
      <c r="F373" s="30"/>
      <c r="G373" s="30"/>
      <c r="H373" s="30"/>
      <c r="I373" s="30"/>
      <c r="J373" s="30"/>
    </row>
    <row r="374" spans="1:10" ht="13.8">
      <c r="A374" s="30"/>
      <c r="B374" s="30"/>
      <c r="C374" s="10"/>
      <c r="D374" s="30"/>
      <c r="E374" s="30"/>
      <c r="F374" s="30"/>
      <c r="G374" s="30"/>
      <c r="H374" s="30"/>
      <c r="I374" s="30"/>
      <c r="J374" s="30"/>
    </row>
    <row r="375" spans="1:10" ht="13.8">
      <c r="A375" s="30"/>
      <c r="B375" s="30"/>
      <c r="C375" s="10"/>
      <c r="D375" s="30"/>
      <c r="E375" s="30"/>
      <c r="F375" s="30"/>
      <c r="G375" s="30"/>
      <c r="H375" s="30"/>
      <c r="I375" s="30"/>
      <c r="J375" s="30"/>
    </row>
    <row r="376" spans="1:10" ht="13.8">
      <c r="A376" s="30"/>
      <c r="B376" s="30"/>
      <c r="C376" s="10"/>
      <c r="D376" s="30"/>
      <c r="E376" s="30"/>
      <c r="F376" s="30"/>
      <c r="G376" s="30"/>
      <c r="H376" s="30"/>
      <c r="I376" s="30"/>
      <c r="J376" s="30"/>
    </row>
    <row r="377" spans="1:10" ht="13.8">
      <c r="A377" s="30"/>
      <c r="B377" s="30"/>
      <c r="C377" s="10"/>
      <c r="D377" s="30"/>
      <c r="E377" s="30"/>
      <c r="F377" s="30"/>
      <c r="G377" s="30"/>
      <c r="H377" s="30"/>
      <c r="I377" s="30"/>
      <c r="J377" s="30"/>
    </row>
    <row r="378" spans="1:10" ht="13.8">
      <c r="A378" s="30"/>
      <c r="B378" s="30"/>
      <c r="C378" s="10"/>
      <c r="D378" s="30"/>
      <c r="E378" s="30"/>
      <c r="F378" s="30"/>
      <c r="G378" s="30"/>
      <c r="H378" s="30"/>
      <c r="I378" s="30"/>
      <c r="J378" s="30"/>
    </row>
    <row r="379" spans="1:10" ht="13.8">
      <c r="A379" s="30"/>
      <c r="B379" s="30"/>
      <c r="C379" s="10"/>
      <c r="D379" s="30"/>
      <c r="E379" s="30"/>
      <c r="F379" s="30"/>
      <c r="G379" s="30"/>
      <c r="H379" s="30"/>
      <c r="I379" s="30"/>
      <c r="J379" s="30"/>
    </row>
    <row r="380" spans="1:10" ht="13.8">
      <c r="A380" s="30"/>
      <c r="B380" s="30"/>
      <c r="C380" s="10"/>
      <c r="D380" s="30"/>
      <c r="E380" s="30"/>
      <c r="F380" s="30"/>
      <c r="G380" s="30"/>
      <c r="H380" s="30"/>
      <c r="I380" s="30"/>
      <c r="J380" s="30"/>
    </row>
    <row r="381" spans="1:10" ht="13.8">
      <c r="A381" s="30"/>
      <c r="B381" s="30"/>
      <c r="C381" s="10"/>
      <c r="D381" s="30"/>
      <c r="E381" s="30"/>
      <c r="F381" s="30"/>
      <c r="G381" s="30"/>
      <c r="H381" s="30"/>
      <c r="I381" s="30"/>
      <c r="J381" s="30"/>
    </row>
    <row r="382" spans="1:10" ht="13.8">
      <c r="A382" s="30"/>
      <c r="B382" s="30"/>
      <c r="C382" s="10"/>
      <c r="D382" s="30"/>
      <c r="E382" s="30"/>
      <c r="F382" s="30"/>
      <c r="G382" s="30"/>
      <c r="H382" s="30"/>
      <c r="I382" s="30"/>
      <c r="J382" s="30"/>
    </row>
    <row r="383" spans="1:10" ht="13.8">
      <c r="A383" s="30"/>
      <c r="B383" s="30"/>
      <c r="C383" s="10"/>
      <c r="D383" s="30"/>
      <c r="E383" s="30"/>
      <c r="F383" s="30"/>
      <c r="G383" s="30"/>
      <c r="H383" s="30"/>
      <c r="I383" s="30"/>
      <c r="J383" s="30"/>
    </row>
    <row r="384" spans="1:10" ht="13.8">
      <c r="A384" s="30"/>
      <c r="B384" s="30"/>
      <c r="C384" s="10"/>
      <c r="D384" s="30"/>
      <c r="E384" s="30"/>
      <c r="F384" s="30"/>
      <c r="G384" s="30"/>
      <c r="H384" s="30"/>
      <c r="I384" s="30"/>
      <c r="J384" s="30"/>
    </row>
    <row r="385" spans="1:10" ht="13.8">
      <c r="A385" s="30"/>
      <c r="B385" s="30"/>
      <c r="C385" s="10"/>
      <c r="D385" s="30"/>
      <c r="E385" s="30"/>
      <c r="F385" s="30"/>
      <c r="G385" s="30"/>
      <c r="H385" s="30"/>
      <c r="I385" s="30"/>
      <c r="J385" s="30"/>
    </row>
    <row r="386" spans="1:10" ht="13.8">
      <c r="A386" s="30"/>
      <c r="B386" s="30"/>
      <c r="C386" s="10"/>
      <c r="D386" s="30"/>
      <c r="E386" s="30"/>
      <c r="F386" s="30"/>
      <c r="G386" s="30"/>
      <c r="H386" s="30"/>
      <c r="I386" s="30"/>
      <c r="J386" s="30"/>
    </row>
    <row r="387" spans="1:10" ht="13.8">
      <c r="A387" s="30"/>
      <c r="B387" s="30"/>
      <c r="C387" s="10"/>
      <c r="D387" s="30"/>
      <c r="E387" s="30"/>
      <c r="F387" s="30"/>
      <c r="G387" s="30"/>
      <c r="H387" s="30"/>
      <c r="I387" s="30"/>
      <c r="J387" s="30"/>
    </row>
    <row r="388" spans="1:10" ht="13.8">
      <c r="A388" s="30"/>
      <c r="B388" s="30"/>
      <c r="C388" s="10"/>
      <c r="D388" s="30"/>
      <c r="E388" s="30"/>
      <c r="F388" s="30"/>
      <c r="G388" s="30"/>
      <c r="H388" s="30"/>
      <c r="I388" s="30"/>
      <c r="J388" s="30"/>
    </row>
    <row r="389" spans="1:10" ht="13.8">
      <c r="A389" s="30"/>
      <c r="B389" s="30"/>
      <c r="C389" s="10"/>
      <c r="D389" s="30"/>
      <c r="E389" s="30"/>
      <c r="F389" s="30"/>
      <c r="G389" s="30"/>
      <c r="H389" s="30"/>
      <c r="I389" s="30"/>
      <c r="J389" s="30"/>
    </row>
    <row r="390" spans="1:10" ht="13.8">
      <c r="A390" s="30"/>
      <c r="B390" s="30"/>
      <c r="C390" s="10"/>
      <c r="D390" s="30"/>
      <c r="E390" s="30"/>
      <c r="F390" s="30"/>
      <c r="G390" s="30"/>
      <c r="H390" s="30"/>
      <c r="I390" s="30"/>
      <c r="J390" s="30"/>
    </row>
    <row r="391" spans="1:10" ht="13.8">
      <c r="A391" s="30"/>
      <c r="B391" s="30"/>
      <c r="C391" s="10"/>
      <c r="D391" s="30"/>
      <c r="E391" s="30"/>
      <c r="F391" s="30"/>
      <c r="G391" s="30"/>
      <c r="H391" s="30"/>
      <c r="I391" s="30"/>
      <c r="J391" s="30"/>
    </row>
    <row r="392" spans="1:10" ht="13.8">
      <c r="A392" s="30"/>
      <c r="B392" s="30"/>
      <c r="C392" s="10"/>
      <c r="D392" s="30"/>
      <c r="E392" s="30"/>
      <c r="F392" s="30"/>
      <c r="G392" s="30"/>
      <c r="H392" s="30"/>
      <c r="I392" s="30"/>
      <c r="J392" s="30"/>
    </row>
    <row r="393" spans="1:10" ht="13.8">
      <c r="A393" s="30"/>
      <c r="B393" s="30"/>
      <c r="C393" s="10"/>
      <c r="D393" s="30"/>
      <c r="E393" s="30"/>
      <c r="F393" s="30"/>
      <c r="G393" s="30"/>
      <c r="H393" s="30"/>
      <c r="I393" s="30"/>
      <c r="J393" s="30"/>
    </row>
    <row r="394" spans="1:10" ht="13.8">
      <c r="A394" s="30"/>
      <c r="B394" s="30"/>
      <c r="C394" s="10"/>
      <c r="D394" s="30"/>
      <c r="E394" s="30"/>
      <c r="F394" s="30"/>
      <c r="G394" s="30"/>
      <c r="H394" s="30"/>
      <c r="I394" s="30"/>
      <c r="J394" s="30"/>
    </row>
    <row r="395" spans="1:10" ht="13.8">
      <c r="A395" s="30"/>
      <c r="B395" s="30"/>
      <c r="C395" s="10"/>
      <c r="D395" s="30"/>
      <c r="E395" s="30"/>
      <c r="F395" s="30"/>
      <c r="G395" s="30"/>
      <c r="H395" s="30"/>
      <c r="I395" s="30"/>
      <c r="J395" s="30"/>
    </row>
    <row r="396" spans="1:10" ht="13.8">
      <c r="A396" s="30"/>
      <c r="B396" s="30"/>
      <c r="C396" s="10"/>
      <c r="D396" s="30"/>
      <c r="E396" s="30"/>
      <c r="F396" s="30"/>
      <c r="G396" s="30"/>
      <c r="H396" s="30"/>
      <c r="I396" s="30"/>
      <c r="J396" s="30"/>
    </row>
    <row r="397" spans="1:10" ht="13.8">
      <c r="A397" s="30"/>
      <c r="B397" s="30"/>
      <c r="C397" s="10"/>
      <c r="D397" s="30"/>
      <c r="E397" s="30"/>
      <c r="F397" s="30"/>
      <c r="G397" s="30"/>
      <c r="H397" s="30"/>
      <c r="I397" s="30"/>
      <c r="J397" s="30"/>
    </row>
    <row r="398" spans="1:10" ht="13.8">
      <c r="A398" s="30"/>
      <c r="B398" s="30"/>
      <c r="C398" s="10"/>
      <c r="D398" s="30"/>
      <c r="E398" s="30"/>
      <c r="F398" s="30"/>
      <c r="G398" s="30"/>
      <c r="H398" s="30"/>
      <c r="I398" s="30"/>
      <c r="J398" s="30"/>
    </row>
    <row r="399" spans="1:10" ht="13.8">
      <c r="A399" s="30"/>
      <c r="B399" s="30"/>
      <c r="C399" s="10"/>
      <c r="D399" s="30"/>
      <c r="E399" s="30"/>
      <c r="F399" s="30"/>
      <c r="G399" s="30"/>
      <c r="H399" s="30"/>
      <c r="I399" s="30"/>
      <c r="J399" s="30"/>
    </row>
    <row r="400" spans="1:10" ht="13.8">
      <c r="A400" s="30"/>
      <c r="B400" s="30"/>
      <c r="C400" s="10"/>
      <c r="D400" s="30"/>
      <c r="E400" s="30"/>
      <c r="F400" s="30"/>
      <c r="G400" s="30"/>
      <c r="H400" s="30"/>
      <c r="I400" s="30"/>
      <c r="J400" s="30"/>
    </row>
    <row r="401" spans="1:10" ht="13.8">
      <c r="A401" s="30"/>
      <c r="B401" s="30"/>
      <c r="C401" s="10"/>
      <c r="D401" s="30"/>
      <c r="E401" s="30"/>
      <c r="F401" s="30"/>
      <c r="G401" s="30"/>
      <c r="H401" s="30"/>
      <c r="I401" s="30"/>
      <c r="J401" s="30"/>
    </row>
    <row r="402" spans="1:10" ht="13.8">
      <c r="A402" s="30"/>
      <c r="B402" s="30"/>
      <c r="C402" s="10"/>
      <c r="D402" s="30"/>
      <c r="E402" s="30"/>
      <c r="F402" s="30"/>
      <c r="G402" s="30"/>
      <c r="H402" s="30"/>
      <c r="I402" s="30"/>
      <c r="J402" s="30"/>
    </row>
    <row r="403" spans="1:10" ht="13.8">
      <c r="A403" s="30"/>
      <c r="B403" s="30"/>
      <c r="C403" s="10"/>
      <c r="D403" s="30"/>
      <c r="E403" s="30"/>
      <c r="F403" s="30"/>
      <c r="G403" s="30"/>
      <c r="H403" s="30"/>
      <c r="I403" s="30"/>
      <c r="J403" s="30"/>
    </row>
    <row r="404" spans="1:10" ht="13.8">
      <c r="A404" s="30"/>
      <c r="B404" s="30"/>
      <c r="C404" s="10"/>
      <c r="D404" s="30"/>
      <c r="E404" s="30"/>
      <c r="F404" s="30"/>
      <c r="G404" s="30"/>
      <c r="H404" s="30"/>
      <c r="I404" s="30"/>
      <c r="J404" s="30"/>
    </row>
    <row r="405" spans="1:10" ht="13.8">
      <c r="A405" s="30"/>
      <c r="B405" s="30"/>
      <c r="C405" s="10"/>
      <c r="D405" s="30"/>
      <c r="E405" s="30"/>
      <c r="F405" s="30"/>
      <c r="G405" s="30"/>
      <c r="H405" s="30"/>
      <c r="I405" s="30"/>
      <c r="J405" s="30"/>
    </row>
    <row r="406" spans="1:10" ht="13.8">
      <c r="A406" s="30"/>
      <c r="B406" s="30"/>
      <c r="C406" s="10"/>
      <c r="D406" s="30"/>
      <c r="E406" s="30"/>
      <c r="F406" s="30"/>
      <c r="G406" s="30"/>
      <c r="H406" s="30"/>
      <c r="I406" s="30"/>
      <c r="J406" s="30"/>
    </row>
    <row r="407" spans="1:10" ht="13.8">
      <c r="A407" s="30"/>
      <c r="B407" s="30"/>
      <c r="C407" s="10"/>
      <c r="D407" s="30"/>
      <c r="E407" s="30"/>
      <c r="F407" s="30"/>
      <c r="G407" s="30"/>
      <c r="H407" s="30"/>
      <c r="I407" s="30"/>
      <c r="J407" s="30"/>
    </row>
    <row r="408" spans="1:10" ht="13.8">
      <c r="A408" s="30"/>
      <c r="B408" s="30"/>
      <c r="C408" s="10"/>
      <c r="D408" s="30"/>
      <c r="E408" s="30"/>
      <c r="F408" s="30"/>
      <c r="G408" s="30"/>
      <c r="H408" s="30"/>
      <c r="I408" s="30"/>
      <c r="J408" s="30"/>
    </row>
    <row r="409" spans="1:10" ht="13.8">
      <c r="A409" s="30"/>
      <c r="B409" s="30"/>
      <c r="C409" s="10"/>
      <c r="D409" s="30"/>
      <c r="E409" s="30"/>
      <c r="F409" s="30"/>
      <c r="G409" s="30"/>
      <c r="H409" s="30"/>
      <c r="I409" s="30"/>
      <c r="J409" s="30"/>
    </row>
    <row r="410" spans="1:10" ht="13.8">
      <c r="A410" s="30"/>
      <c r="B410" s="30"/>
      <c r="C410" s="10"/>
      <c r="D410" s="30"/>
      <c r="E410" s="30"/>
      <c r="F410" s="30"/>
      <c r="G410" s="30"/>
      <c r="H410" s="30"/>
      <c r="I410" s="30"/>
      <c r="J410" s="30"/>
    </row>
    <row r="411" spans="1:10" ht="13.8">
      <c r="A411" s="30"/>
      <c r="B411" s="30"/>
      <c r="C411" s="10"/>
      <c r="D411" s="30"/>
      <c r="E411" s="30"/>
      <c r="F411" s="30"/>
      <c r="G411" s="30"/>
      <c r="H411" s="30"/>
      <c r="I411" s="30"/>
      <c r="J411" s="30"/>
    </row>
    <row r="412" spans="1:10" ht="13.8">
      <c r="A412" s="30"/>
      <c r="B412" s="30"/>
      <c r="C412" s="10"/>
      <c r="D412" s="30"/>
      <c r="E412" s="30"/>
      <c r="F412" s="30"/>
      <c r="G412" s="30"/>
      <c r="H412" s="30"/>
      <c r="I412" s="30"/>
      <c r="J412" s="30"/>
    </row>
    <row r="413" spans="1:10" ht="13.8">
      <c r="A413" s="30"/>
      <c r="B413" s="30"/>
      <c r="C413" s="10"/>
      <c r="D413" s="30"/>
      <c r="E413" s="30"/>
      <c r="F413" s="30"/>
      <c r="G413" s="30"/>
      <c r="H413" s="30"/>
      <c r="I413" s="30"/>
      <c r="J413" s="30"/>
    </row>
    <row r="414" spans="1:10" ht="13.8">
      <c r="A414" s="30"/>
      <c r="B414" s="30"/>
      <c r="C414" s="10"/>
      <c r="D414" s="30"/>
      <c r="E414" s="30"/>
      <c r="F414" s="30"/>
      <c r="G414" s="30"/>
      <c r="H414" s="30"/>
      <c r="I414" s="30"/>
      <c r="J414" s="30"/>
    </row>
    <row r="415" spans="1:10" ht="13.8">
      <c r="A415" s="30"/>
      <c r="B415" s="30"/>
      <c r="C415" s="10"/>
      <c r="D415" s="30"/>
      <c r="E415" s="30"/>
      <c r="F415" s="30"/>
      <c r="G415" s="30"/>
      <c r="H415" s="30"/>
      <c r="I415" s="30"/>
      <c r="J415" s="30"/>
    </row>
    <row r="416" spans="1:10" ht="13.8">
      <c r="A416" s="30"/>
      <c r="B416" s="30"/>
      <c r="C416" s="10"/>
      <c r="D416" s="30"/>
      <c r="E416" s="30"/>
      <c r="F416" s="30"/>
      <c r="G416" s="30"/>
      <c r="H416" s="30"/>
      <c r="I416" s="30"/>
      <c r="J416" s="30"/>
    </row>
    <row r="417" spans="1:10" ht="13.8">
      <c r="A417" s="30"/>
      <c r="B417" s="30"/>
      <c r="C417" s="10"/>
      <c r="D417" s="30"/>
      <c r="E417" s="30"/>
      <c r="F417" s="30"/>
      <c r="G417" s="30"/>
      <c r="H417" s="30"/>
      <c r="I417" s="30"/>
      <c r="J417" s="30"/>
    </row>
    <row r="418" spans="1:10" ht="13.8">
      <c r="A418" s="30"/>
      <c r="B418" s="30"/>
      <c r="C418" s="10"/>
      <c r="D418" s="30"/>
      <c r="E418" s="30"/>
      <c r="F418" s="30"/>
      <c r="G418" s="30"/>
      <c r="H418" s="30"/>
      <c r="I418" s="30"/>
      <c r="J418" s="30"/>
    </row>
    <row r="419" spans="1:10" ht="13.8">
      <c r="A419" s="30"/>
      <c r="B419" s="30"/>
      <c r="C419" s="10"/>
      <c r="D419" s="30"/>
      <c r="E419" s="30"/>
      <c r="F419" s="30"/>
      <c r="G419" s="30"/>
      <c r="H419" s="30"/>
      <c r="I419" s="30"/>
      <c r="J419" s="30"/>
    </row>
    <row r="420" spans="1:10" ht="13.8">
      <c r="A420" s="30"/>
      <c r="B420" s="30"/>
      <c r="C420" s="10"/>
      <c r="D420" s="30"/>
      <c r="E420" s="30"/>
      <c r="F420" s="30"/>
      <c r="G420" s="30"/>
      <c r="H420" s="30"/>
      <c r="I420" s="30"/>
      <c r="J420" s="30"/>
    </row>
    <row r="421" spans="1:10" ht="13.8">
      <c r="A421" s="30"/>
      <c r="B421" s="30"/>
      <c r="C421" s="10"/>
      <c r="D421" s="30"/>
      <c r="E421" s="30"/>
      <c r="F421" s="30"/>
      <c r="G421" s="30"/>
      <c r="H421" s="30"/>
      <c r="I421" s="30"/>
      <c r="J421" s="30"/>
    </row>
    <row r="422" spans="1:10" ht="13.8">
      <c r="A422" s="30"/>
      <c r="B422" s="30"/>
      <c r="C422" s="10"/>
      <c r="D422" s="30"/>
      <c r="E422" s="30"/>
      <c r="F422" s="30"/>
      <c r="G422" s="30"/>
      <c r="H422" s="30"/>
      <c r="I422" s="30"/>
      <c r="J422" s="30"/>
    </row>
    <row r="423" spans="1:10" ht="13.8">
      <c r="A423" s="30"/>
      <c r="B423" s="30"/>
      <c r="C423" s="10"/>
      <c r="D423" s="30"/>
      <c r="E423" s="30"/>
      <c r="F423" s="30"/>
      <c r="G423" s="30"/>
      <c r="H423" s="30"/>
      <c r="I423" s="30"/>
      <c r="J423" s="30"/>
    </row>
    <row r="424" spans="1:10" ht="13.8">
      <c r="A424" s="30"/>
      <c r="B424" s="30"/>
      <c r="C424" s="10"/>
      <c r="D424" s="30"/>
      <c r="E424" s="30"/>
      <c r="F424" s="30"/>
      <c r="G424" s="30"/>
      <c r="H424" s="30"/>
      <c r="I424" s="30"/>
      <c r="J424" s="30"/>
    </row>
    <row r="425" spans="1:10" ht="13.8">
      <c r="A425" s="30"/>
      <c r="B425" s="30"/>
      <c r="C425" s="10"/>
      <c r="D425" s="30"/>
      <c r="E425" s="30"/>
      <c r="F425" s="30"/>
      <c r="G425" s="30"/>
      <c r="H425" s="30"/>
      <c r="I425" s="30"/>
      <c r="J425" s="30"/>
    </row>
    <row r="426" spans="1:10" ht="13.8">
      <c r="A426" s="30"/>
      <c r="B426" s="30"/>
      <c r="C426" s="10"/>
      <c r="D426" s="30"/>
      <c r="E426" s="30"/>
      <c r="F426" s="30"/>
      <c r="G426" s="30"/>
      <c r="H426" s="30"/>
      <c r="I426" s="30"/>
      <c r="J426" s="30"/>
    </row>
    <row r="427" spans="1:10" ht="13.8">
      <c r="A427" s="30"/>
      <c r="B427" s="30"/>
      <c r="C427" s="10"/>
      <c r="D427" s="30"/>
      <c r="E427" s="30"/>
      <c r="F427" s="30"/>
      <c r="G427" s="30"/>
      <c r="H427" s="30"/>
      <c r="I427" s="30"/>
      <c r="J427" s="30"/>
    </row>
    <row r="428" spans="1:10" ht="13.8">
      <c r="A428" s="30"/>
      <c r="B428" s="30"/>
      <c r="C428" s="10"/>
      <c r="D428" s="30"/>
      <c r="E428" s="30"/>
      <c r="F428" s="30"/>
      <c r="G428" s="30"/>
      <c r="H428" s="30"/>
      <c r="I428" s="30"/>
      <c r="J428" s="30"/>
    </row>
    <row r="429" spans="1:10" ht="13.8">
      <c r="A429" s="30"/>
      <c r="B429" s="30"/>
      <c r="C429" s="10"/>
      <c r="D429" s="30"/>
      <c r="E429" s="30"/>
      <c r="F429" s="30"/>
      <c r="G429" s="30"/>
      <c r="H429" s="30"/>
      <c r="I429" s="30"/>
      <c r="J429" s="30"/>
    </row>
    <row r="430" spans="1:10" ht="13.8">
      <c r="A430" s="30"/>
      <c r="B430" s="30"/>
      <c r="C430" s="10"/>
      <c r="D430" s="30"/>
      <c r="E430" s="30"/>
      <c r="F430" s="30"/>
      <c r="G430" s="30"/>
      <c r="H430" s="30"/>
      <c r="I430" s="30"/>
      <c r="J430" s="30"/>
    </row>
    <row r="431" spans="1:10" ht="13.8">
      <c r="A431" s="30"/>
      <c r="B431" s="30"/>
      <c r="C431" s="10"/>
      <c r="D431" s="30"/>
      <c r="E431" s="30"/>
      <c r="F431" s="30"/>
      <c r="G431" s="30"/>
      <c r="H431" s="30"/>
      <c r="I431" s="30"/>
      <c r="J431" s="30"/>
    </row>
    <row r="432" spans="1:10" ht="13.8">
      <c r="A432" s="30"/>
      <c r="B432" s="30"/>
      <c r="C432" s="10"/>
      <c r="D432" s="30"/>
      <c r="E432" s="30"/>
      <c r="F432" s="30"/>
      <c r="G432" s="30"/>
      <c r="H432" s="30"/>
      <c r="I432" s="30"/>
      <c r="J432" s="30"/>
    </row>
    <row r="433" spans="1:10" ht="13.8">
      <c r="A433" s="30"/>
      <c r="B433" s="30"/>
      <c r="C433" s="10"/>
      <c r="D433" s="30"/>
      <c r="E433" s="30"/>
      <c r="F433" s="30"/>
      <c r="G433" s="30"/>
      <c r="H433" s="30"/>
      <c r="I433" s="30"/>
      <c r="J433" s="30"/>
    </row>
    <row r="434" spans="1:10" ht="13.8">
      <c r="A434" s="30"/>
      <c r="B434" s="30"/>
      <c r="C434" s="10"/>
      <c r="D434" s="30"/>
      <c r="E434" s="30"/>
      <c r="F434" s="30"/>
      <c r="G434" s="30"/>
      <c r="H434" s="30"/>
      <c r="I434" s="30"/>
      <c r="J434" s="30"/>
    </row>
    <row r="435" spans="1:10" ht="13.8">
      <c r="A435" s="30"/>
      <c r="B435" s="30"/>
      <c r="C435" s="10"/>
      <c r="D435" s="30"/>
      <c r="E435" s="30"/>
      <c r="F435" s="30"/>
      <c r="G435" s="30"/>
      <c r="H435" s="30"/>
      <c r="I435" s="30"/>
      <c r="J435" s="30"/>
    </row>
    <row r="436" spans="1:10" ht="13.8">
      <c r="A436" s="30"/>
      <c r="B436" s="30"/>
      <c r="C436" s="10"/>
      <c r="D436" s="30"/>
      <c r="E436" s="30"/>
      <c r="F436" s="30"/>
      <c r="G436" s="30"/>
      <c r="H436" s="30"/>
      <c r="I436" s="30"/>
      <c r="J436" s="30"/>
    </row>
    <row r="437" spans="1:10" ht="13.8">
      <c r="A437" s="30"/>
      <c r="B437" s="30"/>
      <c r="C437" s="10"/>
      <c r="D437" s="30"/>
      <c r="E437" s="30"/>
      <c r="F437" s="30"/>
      <c r="G437" s="30"/>
      <c r="H437" s="30"/>
      <c r="I437" s="30"/>
      <c r="J437" s="30"/>
    </row>
    <row r="438" spans="1:10" ht="13.8">
      <c r="A438" s="30"/>
      <c r="B438" s="30"/>
      <c r="C438" s="10"/>
      <c r="D438" s="30"/>
      <c r="E438" s="30"/>
      <c r="F438" s="30"/>
      <c r="G438" s="30"/>
      <c r="H438" s="30"/>
      <c r="I438" s="30"/>
      <c r="J438" s="30"/>
    </row>
    <row r="439" spans="1:10" ht="13.8">
      <c r="A439" s="30"/>
      <c r="B439" s="30"/>
      <c r="C439" s="10"/>
      <c r="D439" s="30"/>
      <c r="E439" s="30"/>
      <c r="F439" s="30"/>
      <c r="G439" s="30"/>
      <c r="H439" s="30"/>
      <c r="I439" s="30"/>
      <c r="J439" s="30"/>
    </row>
    <row r="440" spans="1:10" ht="13.8">
      <c r="A440" s="30"/>
      <c r="B440" s="30"/>
      <c r="C440" s="10"/>
      <c r="D440" s="30"/>
      <c r="E440" s="30"/>
      <c r="F440" s="30"/>
      <c r="G440" s="30"/>
      <c r="H440" s="30"/>
      <c r="I440" s="30"/>
      <c r="J440" s="30"/>
    </row>
    <row r="441" spans="1:10" ht="13.8">
      <c r="A441" s="30"/>
      <c r="B441" s="30"/>
      <c r="C441" s="10"/>
      <c r="D441" s="30"/>
      <c r="E441" s="30"/>
      <c r="F441" s="30"/>
      <c r="G441" s="30"/>
      <c r="H441" s="30"/>
      <c r="I441" s="30"/>
      <c r="J441" s="30"/>
    </row>
    <row r="442" spans="1:10" ht="13.8">
      <c r="A442" s="30"/>
      <c r="B442" s="30"/>
      <c r="C442" s="10"/>
      <c r="D442" s="30"/>
      <c r="E442" s="30"/>
      <c r="F442" s="30"/>
      <c r="G442" s="30"/>
      <c r="H442" s="30"/>
      <c r="I442" s="30"/>
      <c r="J442" s="30"/>
    </row>
    <row r="443" spans="1:10" ht="13.8">
      <c r="A443" s="30"/>
      <c r="B443" s="30"/>
      <c r="C443" s="10"/>
      <c r="D443" s="30"/>
      <c r="E443" s="30"/>
      <c r="F443" s="30"/>
      <c r="G443" s="30"/>
      <c r="H443" s="30"/>
      <c r="I443" s="30"/>
      <c r="J443" s="30"/>
    </row>
    <row r="444" spans="1:10" ht="13.8">
      <c r="A444" s="30"/>
      <c r="B444" s="30"/>
      <c r="C444" s="10"/>
      <c r="D444" s="30"/>
      <c r="E444" s="30"/>
      <c r="F444" s="30"/>
      <c r="G444" s="30"/>
      <c r="H444" s="30"/>
      <c r="I444" s="30"/>
      <c r="J444" s="30"/>
    </row>
    <row r="445" spans="1:10" ht="13.8">
      <c r="A445" s="30"/>
      <c r="B445" s="30"/>
      <c r="C445" s="10"/>
      <c r="D445" s="30"/>
      <c r="E445" s="30"/>
      <c r="F445" s="30"/>
      <c r="G445" s="30"/>
      <c r="H445" s="30"/>
      <c r="I445" s="30"/>
      <c r="J445" s="30"/>
    </row>
    <row r="446" spans="1:10" ht="13.8">
      <c r="A446" s="30"/>
      <c r="B446" s="30"/>
      <c r="C446" s="10"/>
      <c r="D446" s="30"/>
      <c r="E446" s="30"/>
      <c r="F446" s="30"/>
      <c r="G446" s="30"/>
      <c r="H446" s="30"/>
      <c r="I446" s="30"/>
      <c r="J446" s="30"/>
    </row>
    <row r="447" spans="1:10" ht="13.8">
      <c r="A447" s="30"/>
      <c r="B447" s="30"/>
      <c r="C447" s="10"/>
      <c r="D447" s="30"/>
      <c r="E447" s="30"/>
      <c r="F447" s="30"/>
      <c r="G447" s="30"/>
      <c r="H447" s="30"/>
      <c r="I447" s="30"/>
      <c r="J447" s="30"/>
    </row>
    <row r="448" spans="1:10" ht="13.8">
      <c r="A448" s="30"/>
      <c r="B448" s="30"/>
      <c r="C448" s="10"/>
      <c r="D448" s="30"/>
      <c r="E448" s="30"/>
      <c r="F448" s="30"/>
      <c r="G448" s="30"/>
      <c r="H448" s="30"/>
      <c r="I448" s="30"/>
      <c r="J448" s="30"/>
    </row>
    <row r="449" spans="1:10" ht="13.8">
      <c r="A449" s="30"/>
      <c r="B449" s="30"/>
      <c r="C449" s="10"/>
      <c r="D449" s="30"/>
      <c r="E449" s="30"/>
      <c r="F449" s="30"/>
      <c r="G449" s="30"/>
      <c r="H449" s="30"/>
      <c r="I449" s="30"/>
      <c r="J449" s="30"/>
    </row>
    <row r="450" spans="1:10" ht="13.8">
      <c r="A450" s="30"/>
      <c r="B450" s="30"/>
      <c r="C450" s="10"/>
      <c r="D450" s="30"/>
      <c r="E450" s="30"/>
      <c r="F450" s="30"/>
      <c r="G450" s="30"/>
      <c r="H450" s="30"/>
      <c r="I450" s="30"/>
      <c r="J450" s="30"/>
    </row>
    <row r="451" spans="1:10" ht="13.8">
      <c r="A451" s="30"/>
      <c r="B451" s="30"/>
      <c r="C451" s="10"/>
      <c r="D451" s="30"/>
      <c r="E451" s="30"/>
      <c r="F451" s="30"/>
      <c r="G451" s="30"/>
      <c r="H451" s="30"/>
      <c r="I451" s="30"/>
      <c r="J451" s="30"/>
    </row>
    <row r="452" spans="1:10" ht="13.8">
      <c r="A452" s="30"/>
      <c r="B452" s="30"/>
      <c r="C452" s="10"/>
      <c r="D452" s="30"/>
      <c r="E452" s="30"/>
      <c r="F452" s="30"/>
      <c r="G452" s="30"/>
      <c r="H452" s="30"/>
      <c r="I452" s="30"/>
      <c r="J452" s="30"/>
    </row>
    <row r="453" spans="1:10" ht="13.8">
      <c r="A453" s="30"/>
      <c r="B453" s="30"/>
      <c r="C453" s="10"/>
      <c r="D453" s="30"/>
      <c r="E453" s="30"/>
      <c r="F453" s="30"/>
      <c r="G453" s="30"/>
      <c r="H453" s="30"/>
      <c r="I453" s="30"/>
      <c r="J453" s="30"/>
    </row>
    <row r="454" spans="1:10" ht="13.8">
      <c r="A454" s="30"/>
      <c r="B454" s="30"/>
      <c r="C454" s="10"/>
      <c r="D454" s="30"/>
      <c r="E454" s="30"/>
      <c r="F454" s="30"/>
      <c r="G454" s="30"/>
      <c r="H454" s="30"/>
      <c r="I454" s="30"/>
      <c r="J454" s="30"/>
    </row>
    <row r="455" spans="1:10" ht="13.8">
      <c r="A455" s="30"/>
      <c r="B455" s="30"/>
      <c r="C455" s="10"/>
      <c r="D455" s="30"/>
      <c r="E455" s="30"/>
      <c r="F455" s="30"/>
      <c r="G455" s="30"/>
      <c r="H455" s="30"/>
      <c r="I455" s="30"/>
      <c r="J455" s="30"/>
    </row>
    <row r="456" spans="1:10" ht="13.8">
      <c r="A456" s="30"/>
      <c r="B456" s="30"/>
      <c r="C456" s="10"/>
      <c r="D456" s="30"/>
      <c r="E456" s="30"/>
      <c r="F456" s="30"/>
      <c r="G456" s="30"/>
      <c r="H456" s="30"/>
      <c r="I456" s="30"/>
      <c r="J456" s="30"/>
    </row>
    <row r="457" spans="1:10" ht="13.8">
      <c r="A457" s="30"/>
      <c r="B457" s="30"/>
      <c r="C457" s="10"/>
      <c r="D457" s="30"/>
      <c r="E457" s="30"/>
      <c r="F457" s="30"/>
      <c r="G457" s="30"/>
      <c r="H457" s="30"/>
      <c r="I457" s="30"/>
      <c r="J457" s="30"/>
    </row>
    <row r="458" spans="1:10" ht="13.8">
      <c r="A458" s="30"/>
      <c r="B458" s="30"/>
      <c r="C458" s="10"/>
      <c r="D458" s="30"/>
      <c r="E458" s="30"/>
      <c r="F458" s="30"/>
      <c r="G458" s="30"/>
      <c r="H458" s="30"/>
      <c r="I458" s="30"/>
      <c r="J458" s="30"/>
    </row>
    <row r="459" spans="1:10" ht="13.8">
      <c r="A459" s="30"/>
      <c r="B459" s="30"/>
      <c r="C459" s="10"/>
      <c r="D459" s="30"/>
      <c r="E459" s="30"/>
      <c r="F459" s="30"/>
      <c r="G459" s="30"/>
      <c r="H459" s="30"/>
      <c r="I459" s="30"/>
      <c r="J459" s="30"/>
    </row>
    <row r="460" spans="1:10" ht="13.8">
      <c r="A460" s="30"/>
      <c r="B460" s="30"/>
      <c r="C460" s="10"/>
      <c r="D460" s="30"/>
      <c r="E460" s="30"/>
      <c r="F460" s="30"/>
      <c r="G460" s="30"/>
      <c r="H460" s="30"/>
      <c r="I460" s="30"/>
      <c r="J460" s="30"/>
    </row>
    <row r="461" spans="1:10" ht="13.8">
      <c r="A461" s="30"/>
      <c r="B461" s="30"/>
      <c r="C461" s="10"/>
      <c r="D461" s="30"/>
      <c r="E461" s="30"/>
      <c r="F461" s="30"/>
      <c r="G461" s="30"/>
      <c r="H461" s="30"/>
      <c r="I461" s="30"/>
      <c r="J461" s="30"/>
    </row>
    <row r="462" spans="1:10" ht="13.8">
      <c r="A462" s="30"/>
      <c r="B462" s="30"/>
      <c r="C462" s="10"/>
      <c r="D462" s="30"/>
      <c r="E462" s="30"/>
      <c r="F462" s="30"/>
      <c r="G462" s="30"/>
      <c r="H462" s="30"/>
      <c r="I462" s="30"/>
      <c r="J462" s="30"/>
    </row>
    <row r="463" spans="1:10" ht="13.8">
      <c r="A463" s="30"/>
      <c r="B463" s="30"/>
      <c r="C463" s="10"/>
      <c r="D463" s="30"/>
      <c r="E463" s="30"/>
      <c r="F463" s="30"/>
      <c r="G463" s="30"/>
      <c r="H463" s="30"/>
      <c r="I463" s="30"/>
      <c r="J463" s="30"/>
    </row>
    <row r="464" spans="1:10" ht="13.8">
      <c r="A464" s="30"/>
      <c r="B464" s="30"/>
      <c r="C464" s="10"/>
      <c r="D464" s="30"/>
      <c r="E464" s="30"/>
      <c r="F464" s="30"/>
      <c r="G464" s="30"/>
      <c r="H464" s="30"/>
      <c r="I464" s="30"/>
      <c r="J464" s="30"/>
    </row>
    <row r="465" spans="1:10" ht="13.8">
      <c r="A465" s="30"/>
      <c r="B465" s="30"/>
      <c r="C465" s="10"/>
      <c r="D465" s="30"/>
      <c r="E465" s="30"/>
      <c r="F465" s="30"/>
      <c r="G465" s="30"/>
      <c r="H465" s="30"/>
      <c r="I465" s="30"/>
      <c r="J465" s="30"/>
    </row>
    <row r="466" spans="1:10" ht="13.8">
      <c r="A466" s="30"/>
      <c r="B466" s="30"/>
      <c r="C466" s="10"/>
      <c r="D466" s="30"/>
      <c r="E466" s="30"/>
      <c r="F466" s="30"/>
      <c r="G466" s="30"/>
      <c r="H466" s="30"/>
      <c r="I466" s="30"/>
      <c r="J466" s="30"/>
    </row>
    <row r="467" spans="1:10" ht="13.8">
      <c r="A467" s="30"/>
      <c r="B467" s="30"/>
      <c r="C467" s="10"/>
      <c r="D467" s="30"/>
      <c r="E467" s="30"/>
      <c r="F467" s="30"/>
      <c r="G467" s="30"/>
      <c r="H467" s="30"/>
      <c r="I467" s="30"/>
      <c r="J467" s="30"/>
    </row>
    <row r="468" spans="1:10" ht="13.8">
      <c r="A468" s="30"/>
      <c r="B468" s="30"/>
      <c r="C468" s="10"/>
      <c r="D468" s="30"/>
      <c r="E468" s="30"/>
      <c r="F468" s="30"/>
      <c r="G468" s="30"/>
      <c r="H468" s="30"/>
      <c r="I468" s="30"/>
      <c r="J468" s="30"/>
    </row>
    <row r="469" spans="1:10" ht="13.8">
      <c r="A469" s="30"/>
      <c r="B469" s="30"/>
      <c r="C469" s="10"/>
      <c r="D469" s="30"/>
      <c r="E469" s="30"/>
      <c r="F469" s="30"/>
      <c r="G469" s="30"/>
      <c r="H469" s="30"/>
      <c r="I469" s="30"/>
      <c r="J469" s="30"/>
    </row>
    <row r="470" spans="1:10" ht="13.8">
      <c r="A470" s="30"/>
      <c r="B470" s="30"/>
      <c r="C470" s="10"/>
      <c r="D470" s="30"/>
      <c r="E470" s="30"/>
      <c r="F470" s="30"/>
      <c r="G470" s="30"/>
      <c r="H470" s="30"/>
      <c r="I470" s="30"/>
      <c r="J470" s="30"/>
    </row>
    <row r="471" spans="1:10" ht="13.8">
      <c r="A471" s="30"/>
      <c r="B471" s="30"/>
      <c r="C471" s="10"/>
      <c r="D471" s="30"/>
      <c r="E471" s="30"/>
      <c r="F471" s="30"/>
      <c r="G471" s="30"/>
      <c r="H471" s="30"/>
      <c r="I471" s="30"/>
      <c r="J471" s="30"/>
    </row>
    <row r="472" spans="1:10" ht="13.8">
      <c r="A472" s="30"/>
      <c r="B472" s="30"/>
      <c r="C472" s="10"/>
      <c r="D472" s="30"/>
      <c r="E472" s="30"/>
      <c r="F472" s="30"/>
      <c r="G472" s="30"/>
      <c r="H472" s="30"/>
      <c r="I472" s="30"/>
      <c r="J472" s="30"/>
    </row>
    <row r="473" spans="1:10" ht="13.8">
      <c r="A473" s="30"/>
      <c r="B473" s="30"/>
      <c r="C473" s="10"/>
      <c r="D473" s="30"/>
      <c r="E473" s="30"/>
      <c r="F473" s="30"/>
      <c r="G473" s="30"/>
      <c r="H473" s="30"/>
      <c r="I473" s="30"/>
      <c r="J473" s="30"/>
    </row>
    <row r="474" spans="1:10" ht="13.8">
      <c r="A474" s="30"/>
      <c r="B474" s="30"/>
      <c r="C474" s="10"/>
      <c r="D474" s="30"/>
      <c r="E474" s="30"/>
      <c r="F474" s="30"/>
      <c r="G474" s="30"/>
      <c r="H474" s="30"/>
      <c r="I474" s="30"/>
      <c r="J474" s="30"/>
    </row>
    <row r="475" spans="1:10" ht="13.8">
      <c r="A475" s="30"/>
      <c r="B475" s="30"/>
      <c r="C475" s="10"/>
      <c r="D475" s="30"/>
      <c r="E475" s="30"/>
      <c r="F475" s="30"/>
      <c r="G475" s="30"/>
      <c r="H475" s="30"/>
      <c r="I475" s="30"/>
      <c r="J475" s="30"/>
    </row>
    <row r="476" spans="1:10" ht="13.8">
      <c r="A476" s="30"/>
      <c r="B476" s="30"/>
      <c r="C476" s="10"/>
      <c r="D476" s="30"/>
      <c r="E476" s="30"/>
      <c r="F476" s="30"/>
      <c r="G476" s="30"/>
      <c r="H476" s="30"/>
      <c r="I476" s="30"/>
      <c r="J476" s="30"/>
    </row>
    <row r="477" spans="1:10" ht="13.8">
      <c r="A477" s="30"/>
      <c r="B477" s="30"/>
      <c r="C477" s="10"/>
      <c r="D477" s="30"/>
      <c r="E477" s="30"/>
      <c r="F477" s="30"/>
      <c r="G477" s="30"/>
      <c r="H477" s="30"/>
      <c r="I477" s="30"/>
      <c r="J477" s="30"/>
    </row>
    <row r="478" spans="1:10" ht="13.8">
      <c r="A478" s="30"/>
      <c r="B478" s="30"/>
      <c r="C478" s="10"/>
      <c r="D478" s="30"/>
      <c r="E478" s="30"/>
      <c r="F478" s="30"/>
      <c r="G478" s="30"/>
      <c r="H478" s="30"/>
      <c r="I478" s="30"/>
      <c r="J478" s="30"/>
    </row>
    <row r="479" spans="1:10" ht="13.8">
      <c r="A479" s="30"/>
      <c r="B479" s="30"/>
      <c r="C479" s="10"/>
      <c r="D479" s="30"/>
      <c r="E479" s="30"/>
      <c r="F479" s="30"/>
      <c r="G479" s="30"/>
      <c r="H479" s="30"/>
      <c r="I479" s="30"/>
      <c r="J479" s="30"/>
    </row>
    <row r="480" spans="1:10" ht="13.8">
      <c r="A480" s="30"/>
      <c r="B480" s="30"/>
      <c r="C480" s="10"/>
      <c r="D480" s="30"/>
      <c r="E480" s="30"/>
      <c r="F480" s="30"/>
      <c r="G480" s="30"/>
      <c r="H480" s="30"/>
      <c r="I480" s="30"/>
      <c r="J480" s="30"/>
    </row>
    <row r="481" spans="1:10" ht="13.8">
      <c r="A481" s="30"/>
      <c r="B481" s="30"/>
      <c r="C481" s="10"/>
      <c r="D481" s="30"/>
      <c r="E481" s="30"/>
      <c r="F481" s="30"/>
      <c r="G481" s="30"/>
      <c r="H481" s="30"/>
      <c r="I481" s="30"/>
      <c r="J481" s="30"/>
    </row>
    <row r="482" spans="1:10" ht="13.8">
      <c r="A482" s="30"/>
      <c r="B482" s="30"/>
      <c r="C482" s="10"/>
      <c r="D482" s="30"/>
      <c r="E482" s="30"/>
      <c r="F482" s="30"/>
      <c r="G482" s="30"/>
      <c r="H482" s="30"/>
      <c r="I482" s="30"/>
      <c r="J482" s="30"/>
    </row>
    <row r="483" spans="1:10" ht="13.8">
      <c r="A483" s="30"/>
      <c r="B483" s="30"/>
      <c r="C483" s="10"/>
      <c r="D483" s="30"/>
      <c r="E483" s="30"/>
      <c r="F483" s="30"/>
      <c r="G483" s="30"/>
      <c r="H483" s="30"/>
      <c r="I483" s="30"/>
      <c r="J483" s="30"/>
    </row>
    <row r="484" spans="1:10" ht="13.8">
      <c r="A484" s="30"/>
      <c r="B484" s="30"/>
      <c r="C484" s="10"/>
      <c r="D484" s="30"/>
      <c r="E484" s="30"/>
      <c r="F484" s="30"/>
      <c r="G484" s="30"/>
      <c r="H484" s="30"/>
      <c r="I484" s="30"/>
      <c r="J484" s="30"/>
    </row>
    <row r="485" spans="1:10" ht="13.8">
      <c r="A485" s="30"/>
      <c r="B485" s="30"/>
      <c r="C485" s="10"/>
      <c r="D485" s="30"/>
      <c r="E485" s="30"/>
      <c r="F485" s="30"/>
      <c r="G485" s="30"/>
      <c r="H485" s="30"/>
      <c r="I485" s="30"/>
      <c r="J485" s="30"/>
    </row>
    <row r="486" spans="1:10" ht="13.8">
      <c r="A486" s="30"/>
      <c r="B486" s="30"/>
      <c r="C486" s="10"/>
      <c r="D486" s="30"/>
      <c r="E486" s="30"/>
      <c r="F486" s="30"/>
      <c r="G486" s="30"/>
      <c r="H486" s="30"/>
      <c r="I486" s="30"/>
      <c r="J486" s="30"/>
    </row>
    <row r="487" spans="1:10" ht="13.8">
      <c r="A487" s="30"/>
      <c r="B487" s="30"/>
      <c r="C487" s="10"/>
      <c r="D487" s="30"/>
      <c r="E487" s="30"/>
      <c r="F487" s="30"/>
      <c r="G487" s="30"/>
      <c r="H487" s="30"/>
      <c r="I487" s="30"/>
      <c r="J487" s="30"/>
    </row>
    <row r="488" spans="1:10" ht="13.8">
      <c r="A488" s="30"/>
      <c r="B488" s="30"/>
      <c r="C488" s="10"/>
      <c r="D488" s="30"/>
      <c r="E488" s="30"/>
      <c r="F488" s="30"/>
      <c r="G488" s="30"/>
      <c r="H488" s="30"/>
      <c r="I488" s="30"/>
      <c r="J488" s="30"/>
    </row>
    <row r="489" spans="1:10" ht="13.8">
      <c r="A489" s="30"/>
      <c r="B489" s="30"/>
      <c r="C489" s="10"/>
      <c r="D489" s="30"/>
      <c r="E489" s="30"/>
      <c r="F489" s="30"/>
      <c r="G489" s="30"/>
      <c r="H489" s="30"/>
      <c r="I489" s="30"/>
      <c r="J489" s="30"/>
    </row>
    <row r="490" spans="1:10" ht="13.8">
      <c r="A490" s="30"/>
      <c r="B490" s="30"/>
      <c r="C490" s="10"/>
      <c r="D490" s="30"/>
      <c r="E490" s="30"/>
      <c r="F490" s="30"/>
      <c r="G490" s="30"/>
      <c r="H490" s="30"/>
      <c r="I490" s="30"/>
      <c r="J490" s="30"/>
    </row>
    <row r="491" spans="1:10" ht="13.8">
      <c r="A491" s="30"/>
      <c r="B491" s="30"/>
      <c r="C491" s="10"/>
      <c r="D491" s="30"/>
      <c r="E491" s="30"/>
      <c r="F491" s="30"/>
      <c r="G491" s="30"/>
      <c r="H491" s="30"/>
      <c r="I491" s="30"/>
      <c r="J491" s="30"/>
    </row>
    <row r="492" spans="1:10" ht="13.8">
      <c r="A492" s="30"/>
      <c r="B492" s="30"/>
      <c r="C492" s="10"/>
      <c r="D492" s="30"/>
      <c r="E492" s="30"/>
      <c r="F492" s="30"/>
      <c r="G492" s="30"/>
      <c r="H492" s="30"/>
      <c r="I492" s="30"/>
      <c r="J492" s="30"/>
    </row>
    <row r="493" spans="1:10" ht="13.8">
      <c r="A493" s="30"/>
      <c r="B493" s="30"/>
      <c r="C493" s="10"/>
      <c r="D493" s="30"/>
      <c r="E493" s="30"/>
      <c r="F493" s="30"/>
      <c r="G493" s="30"/>
      <c r="H493" s="30"/>
      <c r="I493" s="30"/>
      <c r="J493" s="30"/>
    </row>
    <row r="494" spans="1:10" ht="13.8">
      <c r="A494" s="30"/>
      <c r="B494" s="30"/>
      <c r="C494" s="10"/>
      <c r="D494" s="30"/>
      <c r="E494" s="30"/>
      <c r="F494" s="30"/>
      <c r="G494" s="30"/>
      <c r="H494" s="30"/>
      <c r="I494" s="30"/>
      <c r="J494" s="30"/>
    </row>
    <row r="495" spans="1:10" ht="13.8">
      <c r="A495" s="30"/>
      <c r="B495" s="30"/>
      <c r="C495" s="10"/>
      <c r="D495" s="30"/>
      <c r="E495" s="30"/>
      <c r="F495" s="30"/>
      <c r="G495" s="30"/>
      <c r="H495" s="30"/>
      <c r="I495" s="30"/>
      <c r="J495" s="30"/>
    </row>
    <row r="496" spans="1:10" ht="13.8">
      <c r="A496" s="30"/>
      <c r="B496" s="30"/>
      <c r="C496" s="10"/>
      <c r="D496" s="30"/>
      <c r="E496" s="30"/>
      <c r="F496" s="30"/>
      <c r="G496" s="30"/>
      <c r="H496" s="30"/>
      <c r="I496" s="30"/>
      <c r="J496" s="30"/>
    </row>
    <row r="497" spans="1:10" ht="13.8">
      <c r="A497" s="30"/>
      <c r="B497" s="30"/>
      <c r="C497" s="10"/>
      <c r="D497" s="30"/>
      <c r="E497" s="30"/>
      <c r="F497" s="30"/>
      <c r="G497" s="30"/>
      <c r="H497" s="30"/>
      <c r="I497" s="30"/>
      <c r="J497" s="30"/>
    </row>
    <row r="498" spans="1:10" ht="13.8">
      <c r="A498" s="30"/>
      <c r="B498" s="30"/>
      <c r="C498" s="10"/>
      <c r="D498" s="30"/>
      <c r="E498" s="30"/>
      <c r="F498" s="30"/>
      <c r="G498" s="30"/>
      <c r="H498" s="30"/>
      <c r="I498" s="30"/>
      <c r="J498" s="30"/>
    </row>
    <row r="499" spans="1:10" ht="13.8">
      <c r="A499" s="30"/>
      <c r="B499" s="30"/>
      <c r="C499" s="10"/>
      <c r="D499" s="30"/>
      <c r="E499" s="30"/>
      <c r="F499" s="30"/>
      <c r="G499" s="30"/>
      <c r="H499" s="30"/>
      <c r="I499" s="30"/>
      <c r="J499" s="30"/>
    </row>
    <row r="500" spans="1:10" ht="13.8">
      <c r="A500" s="30"/>
      <c r="B500" s="30"/>
      <c r="C500" s="10"/>
      <c r="D500" s="30"/>
      <c r="E500" s="30"/>
      <c r="F500" s="30"/>
      <c r="G500" s="30"/>
      <c r="H500" s="30"/>
      <c r="I500" s="30"/>
      <c r="J500" s="30"/>
    </row>
    <row r="501" spans="1:10" ht="13.8">
      <c r="A501" s="30"/>
      <c r="B501" s="30"/>
      <c r="C501" s="10"/>
      <c r="D501" s="30"/>
      <c r="E501" s="30"/>
      <c r="F501" s="30"/>
      <c r="G501" s="30"/>
      <c r="H501" s="30"/>
      <c r="I501" s="30"/>
      <c r="J501" s="30"/>
    </row>
    <row r="502" spans="1:10" ht="13.8">
      <c r="A502" s="30"/>
      <c r="B502" s="30"/>
      <c r="C502" s="10"/>
      <c r="D502" s="30"/>
      <c r="E502" s="30"/>
      <c r="F502" s="30"/>
      <c r="G502" s="30"/>
      <c r="H502" s="30"/>
      <c r="I502" s="30"/>
      <c r="J502" s="30"/>
    </row>
    <row r="503" spans="1:10" ht="13.8">
      <c r="A503" s="30"/>
      <c r="B503" s="30"/>
      <c r="C503" s="10"/>
      <c r="D503" s="30"/>
      <c r="E503" s="30"/>
      <c r="F503" s="30"/>
      <c r="G503" s="30"/>
      <c r="H503" s="30"/>
      <c r="I503" s="30"/>
      <c r="J503" s="30"/>
    </row>
    <row r="504" spans="1:10" ht="13.8">
      <c r="A504" s="30"/>
      <c r="B504" s="30"/>
      <c r="C504" s="10"/>
      <c r="D504" s="30"/>
      <c r="E504" s="30"/>
      <c r="F504" s="30"/>
      <c r="G504" s="30"/>
      <c r="H504" s="30"/>
      <c r="I504" s="30"/>
      <c r="J504" s="30"/>
    </row>
    <row r="505" spans="1:10" ht="13.8">
      <c r="A505" s="30"/>
      <c r="B505" s="30"/>
      <c r="C505" s="10"/>
      <c r="D505" s="30"/>
      <c r="E505" s="30"/>
      <c r="F505" s="30"/>
      <c r="G505" s="30"/>
      <c r="H505" s="30"/>
      <c r="I505" s="30"/>
      <c r="J505" s="30"/>
    </row>
    <row r="506" spans="1:10" ht="13.8">
      <c r="A506" s="30"/>
      <c r="B506" s="30"/>
      <c r="C506" s="10"/>
      <c r="D506" s="30"/>
      <c r="E506" s="30"/>
      <c r="F506" s="30"/>
      <c r="G506" s="30"/>
      <c r="H506" s="30"/>
      <c r="I506" s="30"/>
      <c r="J506" s="30"/>
    </row>
    <row r="507" spans="1:10" ht="13.8">
      <c r="A507" s="30"/>
      <c r="B507" s="30"/>
      <c r="C507" s="10"/>
      <c r="D507" s="30"/>
      <c r="E507" s="30"/>
      <c r="F507" s="30"/>
      <c r="G507" s="30"/>
      <c r="H507" s="30"/>
      <c r="I507" s="30"/>
      <c r="J507" s="30"/>
    </row>
    <row r="508" spans="1:10" ht="13.8">
      <c r="A508" s="30"/>
      <c r="B508" s="30"/>
      <c r="C508" s="10"/>
      <c r="D508" s="30"/>
      <c r="E508" s="30"/>
      <c r="F508" s="30"/>
      <c r="G508" s="30"/>
      <c r="H508" s="30"/>
      <c r="I508" s="30"/>
      <c r="J508" s="30"/>
    </row>
    <row r="509" spans="1:10" ht="13.8">
      <c r="A509" s="30"/>
      <c r="B509" s="30"/>
      <c r="C509" s="10"/>
      <c r="D509" s="30"/>
      <c r="E509" s="30"/>
      <c r="F509" s="30"/>
      <c r="G509" s="30"/>
      <c r="H509" s="30"/>
      <c r="I509" s="30"/>
      <c r="J509" s="30"/>
    </row>
    <row r="510" spans="1:10" ht="13.8">
      <c r="A510" s="30"/>
      <c r="B510" s="30"/>
      <c r="C510" s="10"/>
      <c r="D510" s="30"/>
      <c r="E510" s="30"/>
      <c r="F510" s="30"/>
      <c r="G510" s="30"/>
      <c r="H510" s="30"/>
      <c r="I510" s="30"/>
      <c r="J510" s="30"/>
    </row>
    <row r="511" spans="1:10" ht="13.8">
      <c r="A511" s="30"/>
      <c r="B511" s="30"/>
      <c r="C511" s="10"/>
      <c r="D511" s="30"/>
      <c r="E511" s="30"/>
      <c r="F511" s="30"/>
      <c r="G511" s="30"/>
      <c r="H511" s="30"/>
      <c r="I511" s="30"/>
      <c r="J511" s="30"/>
    </row>
    <row r="512" spans="1:10" ht="13.8">
      <c r="A512" s="30"/>
      <c r="B512" s="30"/>
      <c r="C512" s="10"/>
      <c r="D512" s="30"/>
      <c r="E512" s="30"/>
      <c r="F512" s="30"/>
      <c r="G512" s="30"/>
      <c r="H512" s="30"/>
      <c r="I512" s="30"/>
      <c r="J512" s="30"/>
    </row>
    <row r="513" spans="1:10" ht="13.8">
      <c r="A513" s="30"/>
      <c r="B513" s="30"/>
      <c r="C513" s="10"/>
      <c r="D513" s="30"/>
      <c r="E513" s="30"/>
      <c r="F513" s="30"/>
      <c r="G513" s="30"/>
      <c r="H513" s="30"/>
      <c r="I513" s="30"/>
      <c r="J513" s="30"/>
    </row>
    <row r="514" spans="1:10" ht="13.8">
      <c r="A514" s="30"/>
      <c r="B514" s="30"/>
      <c r="C514" s="10"/>
      <c r="D514" s="30"/>
      <c r="E514" s="30"/>
      <c r="F514" s="30"/>
      <c r="G514" s="30"/>
      <c r="H514" s="30"/>
      <c r="I514" s="30"/>
      <c r="J514" s="30"/>
    </row>
    <row r="515" spans="1:10" ht="13.8">
      <c r="A515" s="30"/>
      <c r="B515" s="30"/>
      <c r="C515" s="10"/>
      <c r="D515" s="30"/>
      <c r="E515" s="30"/>
      <c r="F515" s="30"/>
      <c r="G515" s="30"/>
      <c r="H515" s="30"/>
      <c r="I515" s="30"/>
      <c r="J515" s="30"/>
    </row>
    <row r="516" spans="1:10" ht="13.8">
      <c r="A516" s="30"/>
      <c r="B516" s="30"/>
      <c r="C516" s="10"/>
      <c r="D516" s="30"/>
      <c r="E516" s="30"/>
      <c r="F516" s="30"/>
      <c r="G516" s="30"/>
      <c r="H516" s="30"/>
      <c r="I516" s="30"/>
      <c r="J516" s="30"/>
    </row>
    <row r="517" spans="1:10" ht="13.8">
      <c r="A517" s="30"/>
      <c r="B517" s="30"/>
      <c r="C517" s="10"/>
      <c r="D517" s="30"/>
      <c r="E517" s="30"/>
      <c r="F517" s="30"/>
      <c r="G517" s="30"/>
      <c r="H517" s="30"/>
      <c r="I517" s="30"/>
      <c r="J517" s="30"/>
    </row>
    <row r="518" spans="1:10" ht="13.8">
      <c r="A518" s="30"/>
      <c r="B518" s="30"/>
      <c r="C518" s="10"/>
      <c r="D518" s="30"/>
      <c r="E518" s="30"/>
      <c r="F518" s="30"/>
      <c r="G518" s="30"/>
      <c r="H518" s="30"/>
      <c r="I518" s="30"/>
      <c r="J518" s="30"/>
    </row>
    <row r="519" spans="1:10" ht="13.8">
      <c r="A519" s="30"/>
      <c r="B519" s="30"/>
      <c r="C519" s="10"/>
      <c r="D519" s="30"/>
      <c r="E519" s="30"/>
      <c r="F519" s="30"/>
      <c r="G519" s="30"/>
      <c r="H519" s="30"/>
      <c r="I519" s="30"/>
      <c r="J519" s="30"/>
    </row>
    <row r="520" spans="1:10" ht="13.8">
      <c r="A520" s="30"/>
      <c r="B520" s="30"/>
      <c r="C520" s="10"/>
      <c r="D520" s="30"/>
      <c r="E520" s="30"/>
      <c r="F520" s="30"/>
      <c r="G520" s="30"/>
      <c r="H520" s="30"/>
      <c r="I520" s="30"/>
      <c r="J520" s="30"/>
    </row>
    <row r="521" spans="1:10" ht="13.8">
      <c r="A521" s="30"/>
      <c r="B521" s="30"/>
      <c r="C521" s="10"/>
      <c r="D521" s="30"/>
      <c r="E521" s="30"/>
      <c r="F521" s="30"/>
      <c r="G521" s="30"/>
      <c r="H521" s="30"/>
      <c r="I521" s="30"/>
      <c r="J521" s="30"/>
    </row>
    <row r="522" spans="1:10" ht="13.8">
      <c r="A522" s="30"/>
      <c r="B522" s="30"/>
      <c r="C522" s="10"/>
      <c r="D522" s="30"/>
      <c r="E522" s="30"/>
      <c r="F522" s="30"/>
      <c r="G522" s="30"/>
      <c r="H522" s="30"/>
      <c r="I522" s="30"/>
      <c r="J522" s="30"/>
    </row>
    <row r="523" spans="1:10" ht="13.8">
      <c r="A523" s="30"/>
      <c r="B523" s="30"/>
      <c r="C523" s="10"/>
      <c r="D523" s="30"/>
      <c r="E523" s="30"/>
      <c r="F523" s="30"/>
      <c r="G523" s="30"/>
      <c r="H523" s="30"/>
      <c r="I523" s="30"/>
      <c r="J523" s="30"/>
    </row>
    <row r="524" spans="1:10" ht="13.8">
      <c r="A524" s="30"/>
      <c r="B524" s="30"/>
      <c r="C524" s="10"/>
      <c r="D524" s="30"/>
      <c r="E524" s="30"/>
      <c r="F524" s="30"/>
      <c r="G524" s="30"/>
      <c r="H524" s="30"/>
      <c r="I524" s="30"/>
      <c r="J524" s="30"/>
    </row>
    <row r="525" spans="1:10" ht="13.8">
      <c r="A525" s="30"/>
      <c r="B525" s="30"/>
      <c r="C525" s="10"/>
      <c r="D525" s="30"/>
      <c r="E525" s="30"/>
      <c r="F525" s="30"/>
      <c r="G525" s="30"/>
      <c r="H525" s="30"/>
      <c r="I525" s="30"/>
      <c r="J525" s="30"/>
    </row>
    <row r="526" spans="1:10" ht="13.8">
      <c r="A526" s="30"/>
      <c r="B526" s="30"/>
      <c r="C526" s="10"/>
      <c r="D526" s="30"/>
      <c r="E526" s="30"/>
      <c r="F526" s="30"/>
      <c r="G526" s="30"/>
      <c r="H526" s="30"/>
      <c r="I526" s="30"/>
      <c r="J526" s="30"/>
    </row>
    <row r="527" spans="1:10" ht="13.8">
      <c r="A527" s="30"/>
      <c r="B527" s="30"/>
      <c r="C527" s="10"/>
      <c r="D527" s="30"/>
      <c r="E527" s="30"/>
      <c r="F527" s="30"/>
      <c r="G527" s="30"/>
      <c r="H527" s="30"/>
      <c r="I527" s="30"/>
      <c r="J527" s="30"/>
    </row>
    <row r="528" spans="1:10" ht="13.8">
      <c r="A528" s="30"/>
      <c r="B528" s="30"/>
      <c r="C528" s="10"/>
      <c r="D528" s="30"/>
      <c r="E528" s="30"/>
      <c r="F528" s="30"/>
      <c r="G528" s="30"/>
      <c r="H528" s="30"/>
      <c r="I528" s="30"/>
      <c r="J528" s="30"/>
    </row>
    <row r="529" spans="1:10" ht="13.8">
      <c r="A529" s="30"/>
      <c r="B529" s="30"/>
      <c r="C529" s="10"/>
      <c r="D529" s="30"/>
      <c r="E529" s="30"/>
      <c r="F529" s="30"/>
      <c r="G529" s="30"/>
      <c r="H529" s="30"/>
      <c r="I529" s="30"/>
      <c r="J529" s="30"/>
    </row>
    <row r="530" spans="1:10" ht="13.8">
      <c r="A530" s="30"/>
      <c r="B530" s="30"/>
      <c r="C530" s="10"/>
      <c r="D530" s="30"/>
      <c r="E530" s="30"/>
      <c r="F530" s="30"/>
      <c r="G530" s="30"/>
      <c r="H530" s="30"/>
      <c r="I530" s="30"/>
      <c r="J530" s="30"/>
    </row>
    <row r="531" spans="1:10" ht="13.8">
      <c r="A531" s="30"/>
      <c r="B531" s="30"/>
      <c r="C531" s="10"/>
      <c r="D531" s="30"/>
      <c r="E531" s="30"/>
      <c r="F531" s="30"/>
      <c r="G531" s="30"/>
      <c r="H531" s="30"/>
      <c r="I531" s="30"/>
      <c r="J531" s="30"/>
    </row>
    <row r="532" spans="1:10" ht="13.8">
      <c r="A532" s="30"/>
      <c r="B532" s="30"/>
      <c r="C532" s="10"/>
      <c r="D532" s="30"/>
      <c r="E532" s="30"/>
      <c r="F532" s="30"/>
      <c r="G532" s="30"/>
      <c r="H532" s="30"/>
      <c r="I532" s="30"/>
      <c r="J532" s="30"/>
    </row>
    <row r="533" spans="1:10" ht="13.8">
      <c r="A533" s="30"/>
      <c r="B533" s="30"/>
      <c r="C533" s="10"/>
      <c r="D533" s="30"/>
      <c r="E533" s="30"/>
      <c r="F533" s="30"/>
      <c r="G533" s="30"/>
      <c r="H533" s="30"/>
      <c r="I533" s="30"/>
      <c r="J533" s="30"/>
    </row>
    <row r="534" spans="1:10" ht="13.8">
      <c r="A534" s="30"/>
      <c r="B534" s="30"/>
      <c r="C534" s="10"/>
      <c r="D534" s="30"/>
      <c r="E534" s="30"/>
      <c r="F534" s="30"/>
      <c r="G534" s="30"/>
      <c r="H534" s="30"/>
      <c r="I534" s="30"/>
      <c r="J534" s="30"/>
    </row>
    <row r="535" spans="1:10" ht="13.8">
      <c r="A535" s="30"/>
      <c r="B535" s="30"/>
      <c r="C535" s="10"/>
      <c r="D535" s="30"/>
      <c r="E535" s="30"/>
      <c r="F535" s="30"/>
      <c r="G535" s="30"/>
      <c r="H535" s="30"/>
      <c r="I535" s="30"/>
      <c r="J535" s="30"/>
    </row>
    <row r="536" spans="1:10" ht="13.8">
      <c r="A536" s="30"/>
      <c r="B536" s="30"/>
      <c r="C536" s="10"/>
      <c r="D536" s="30"/>
      <c r="E536" s="30"/>
      <c r="F536" s="30"/>
      <c r="G536" s="30"/>
      <c r="H536" s="30"/>
      <c r="I536" s="30"/>
      <c r="J536" s="30"/>
    </row>
    <row r="537" spans="1:10" ht="13.8">
      <c r="A537" s="30"/>
      <c r="B537" s="30"/>
      <c r="C537" s="10"/>
      <c r="D537" s="30"/>
      <c r="E537" s="30"/>
      <c r="F537" s="30"/>
      <c r="G537" s="30"/>
      <c r="H537" s="30"/>
      <c r="I537" s="30"/>
      <c r="J537" s="30"/>
    </row>
    <row r="538" spans="1:10" ht="13.8">
      <c r="A538" s="30"/>
      <c r="B538" s="30"/>
      <c r="C538" s="10"/>
      <c r="D538" s="30"/>
      <c r="E538" s="30"/>
      <c r="F538" s="30"/>
      <c r="G538" s="30"/>
      <c r="H538" s="30"/>
      <c r="I538" s="30"/>
      <c r="J538" s="30"/>
    </row>
    <row r="539" spans="1:10" ht="13.8">
      <c r="A539" s="30"/>
      <c r="B539" s="30"/>
      <c r="C539" s="10"/>
      <c r="D539" s="30"/>
      <c r="E539" s="30"/>
      <c r="F539" s="30"/>
      <c r="G539" s="30"/>
      <c r="H539" s="30"/>
      <c r="I539" s="30"/>
      <c r="J539" s="30"/>
    </row>
    <row r="540" spans="1:10" ht="13.8">
      <c r="A540" s="30"/>
      <c r="B540" s="30"/>
      <c r="C540" s="10"/>
      <c r="D540" s="30"/>
      <c r="E540" s="30"/>
      <c r="F540" s="30"/>
      <c r="G540" s="30"/>
      <c r="H540" s="30"/>
      <c r="I540" s="30"/>
      <c r="J540" s="30"/>
    </row>
    <row r="541" spans="1:10" ht="13.8">
      <c r="A541" s="30"/>
      <c r="B541" s="30"/>
      <c r="C541" s="10"/>
      <c r="D541" s="30"/>
      <c r="E541" s="30"/>
      <c r="F541" s="30"/>
      <c r="G541" s="30"/>
      <c r="H541" s="30"/>
      <c r="I541" s="30"/>
      <c r="J541" s="30"/>
    </row>
    <row r="542" spans="1:10" ht="13.8">
      <c r="A542" s="30"/>
      <c r="B542" s="30"/>
      <c r="C542" s="10"/>
      <c r="D542" s="30"/>
      <c r="E542" s="30"/>
      <c r="F542" s="30"/>
      <c r="G542" s="30"/>
      <c r="H542" s="30"/>
      <c r="I542" s="30"/>
      <c r="J542" s="30"/>
    </row>
    <row r="543" spans="1:10" ht="13.8">
      <c r="A543" s="30"/>
      <c r="B543" s="30"/>
      <c r="C543" s="10"/>
      <c r="D543" s="30"/>
      <c r="E543" s="30"/>
      <c r="F543" s="30"/>
      <c r="G543" s="30"/>
      <c r="H543" s="30"/>
      <c r="I543" s="30"/>
      <c r="J543" s="30"/>
    </row>
    <row r="544" spans="1:10" ht="13.8">
      <c r="A544" s="30"/>
      <c r="B544" s="30"/>
      <c r="C544" s="10"/>
      <c r="D544" s="30"/>
      <c r="E544" s="30"/>
      <c r="F544" s="30"/>
      <c r="G544" s="30"/>
      <c r="H544" s="30"/>
      <c r="I544" s="30"/>
      <c r="J544" s="30"/>
    </row>
    <row r="545" spans="1:10" ht="13.8">
      <c r="A545" s="30"/>
      <c r="B545" s="30"/>
      <c r="C545" s="10"/>
      <c r="D545" s="30"/>
      <c r="E545" s="30"/>
      <c r="F545" s="30"/>
      <c r="G545" s="30"/>
      <c r="H545" s="30"/>
      <c r="I545" s="30"/>
      <c r="J545" s="30"/>
    </row>
    <row r="546" spans="1:10" ht="13.8">
      <c r="A546" s="30"/>
      <c r="B546" s="30"/>
      <c r="C546" s="10"/>
      <c r="D546" s="30"/>
      <c r="E546" s="30"/>
      <c r="F546" s="30"/>
      <c r="G546" s="30"/>
      <c r="H546" s="30"/>
      <c r="I546" s="30"/>
      <c r="J546" s="30"/>
    </row>
    <row r="547" spans="1:10" ht="13.8">
      <c r="A547" s="30"/>
      <c r="B547" s="30"/>
      <c r="C547" s="10"/>
      <c r="D547" s="30"/>
      <c r="E547" s="30"/>
      <c r="F547" s="30"/>
      <c r="G547" s="30"/>
      <c r="H547" s="30"/>
      <c r="I547" s="30"/>
      <c r="J547" s="30"/>
    </row>
    <row r="548" spans="1:10" ht="13.8">
      <c r="A548" s="30"/>
      <c r="B548" s="30"/>
      <c r="C548" s="10"/>
      <c r="D548" s="30"/>
      <c r="E548" s="30"/>
      <c r="F548" s="30"/>
      <c r="G548" s="30"/>
      <c r="H548" s="30"/>
      <c r="I548" s="30"/>
      <c r="J548" s="30"/>
    </row>
    <row r="549" spans="1:10" ht="13.8">
      <c r="A549" s="30"/>
      <c r="B549" s="30"/>
      <c r="C549" s="10"/>
      <c r="D549" s="30"/>
      <c r="E549" s="30"/>
      <c r="F549" s="30"/>
      <c r="G549" s="30"/>
      <c r="H549" s="30"/>
      <c r="I549" s="30"/>
      <c r="J549" s="30"/>
    </row>
    <row r="550" spans="1:10" ht="13.8">
      <c r="A550" s="30"/>
      <c r="B550" s="30"/>
      <c r="C550" s="10"/>
      <c r="D550" s="30"/>
      <c r="E550" s="30"/>
      <c r="F550" s="30"/>
      <c r="G550" s="30"/>
      <c r="H550" s="30"/>
      <c r="I550" s="30"/>
      <c r="J550" s="30"/>
    </row>
    <row r="551" spans="1:10" ht="13.8">
      <c r="A551" s="30"/>
      <c r="B551" s="30"/>
      <c r="C551" s="10"/>
      <c r="D551" s="30"/>
      <c r="E551" s="30"/>
      <c r="F551" s="30"/>
      <c r="G551" s="30"/>
      <c r="H551" s="30"/>
      <c r="I551" s="30"/>
      <c r="J551" s="30"/>
    </row>
    <row r="552" spans="1:10" ht="13.8">
      <c r="A552" s="30"/>
      <c r="B552" s="30"/>
      <c r="C552" s="10"/>
      <c r="D552" s="30"/>
      <c r="E552" s="30"/>
      <c r="F552" s="30"/>
      <c r="G552" s="30"/>
      <c r="H552" s="30"/>
      <c r="I552" s="30"/>
      <c r="J552" s="30"/>
    </row>
    <row r="553" spans="1:10" ht="13.8">
      <c r="A553" s="30"/>
      <c r="B553" s="30"/>
      <c r="C553" s="10"/>
      <c r="D553" s="30"/>
      <c r="E553" s="30"/>
      <c r="F553" s="30"/>
      <c r="G553" s="30"/>
      <c r="H553" s="30"/>
      <c r="I553" s="30"/>
      <c r="J553" s="30"/>
    </row>
    <row r="554" spans="1:10" ht="13.8">
      <c r="A554" s="30"/>
      <c r="B554" s="30"/>
      <c r="C554" s="10"/>
      <c r="D554" s="30"/>
      <c r="E554" s="30"/>
      <c r="F554" s="30"/>
      <c r="G554" s="30"/>
      <c r="H554" s="30"/>
      <c r="I554" s="30"/>
      <c r="J554" s="30"/>
    </row>
    <row r="555" spans="1:10" ht="13.8">
      <c r="A555" s="30"/>
      <c r="B555" s="30"/>
      <c r="C555" s="10"/>
      <c r="D555" s="30"/>
      <c r="E555" s="30"/>
      <c r="F555" s="30"/>
      <c r="G555" s="30"/>
      <c r="H555" s="30"/>
      <c r="I555" s="30"/>
      <c r="J555" s="30"/>
    </row>
    <row r="556" spans="1:10" ht="13.8">
      <c r="A556" s="30"/>
      <c r="B556" s="30"/>
      <c r="C556" s="10"/>
      <c r="D556" s="30"/>
      <c r="E556" s="30"/>
      <c r="F556" s="30"/>
      <c r="G556" s="30"/>
      <c r="H556" s="30"/>
      <c r="I556" s="30"/>
      <c r="J556" s="30"/>
    </row>
    <row r="557" spans="1:10" ht="13.8">
      <c r="A557" s="30"/>
      <c r="B557" s="30"/>
      <c r="C557" s="10"/>
      <c r="D557" s="30"/>
      <c r="E557" s="30"/>
      <c r="F557" s="30"/>
      <c r="G557" s="30"/>
      <c r="H557" s="30"/>
      <c r="I557" s="30"/>
      <c r="J557" s="30"/>
    </row>
    <row r="558" spans="1:10" ht="13.8">
      <c r="A558" s="30"/>
      <c r="B558" s="30"/>
      <c r="C558" s="10"/>
      <c r="D558" s="30"/>
      <c r="E558" s="30"/>
      <c r="F558" s="30"/>
      <c r="G558" s="30"/>
      <c r="H558" s="30"/>
      <c r="I558" s="30"/>
      <c r="J558" s="30"/>
    </row>
    <row r="559" spans="1:10" ht="13.8">
      <c r="A559" s="30"/>
      <c r="B559" s="30"/>
      <c r="C559" s="10"/>
      <c r="D559" s="30"/>
      <c r="E559" s="30"/>
      <c r="F559" s="30"/>
      <c r="G559" s="30"/>
      <c r="H559" s="30"/>
      <c r="I559" s="30"/>
      <c r="J559" s="30"/>
    </row>
    <row r="560" spans="1:10" ht="13.8">
      <c r="A560" s="30"/>
      <c r="B560" s="30"/>
      <c r="C560" s="10"/>
      <c r="D560" s="30"/>
      <c r="E560" s="30"/>
      <c r="F560" s="30"/>
      <c r="G560" s="30"/>
      <c r="H560" s="30"/>
      <c r="I560" s="30"/>
      <c r="J560" s="30"/>
    </row>
    <row r="561" spans="1:10" ht="13.8">
      <c r="A561" s="30"/>
      <c r="B561" s="30"/>
      <c r="C561" s="10"/>
      <c r="D561" s="30"/>
      <c r="E561" s="30"/>
      <c r="F561" s="30"/>
      <c r="G561" s="30"/>
      <c r="H561" s="30"/>
      <c r="I561" s="30"/>
      <c r="J561" s="30"/>
    </row>
    <row r="562" spans="1:10" ht="13.8">
      <c r="A562" s="30"/>
      <c r="B562" s="30"/>
      <c r="C562" s="10"/>
      <c r="D562" s="30"/>
      <c r="E562" s="30"/>
      <c r="F562" s="30"/>
      <c r="G562" s="30"/>
      <c r="H562" s="30"/>
      <c r="I562" s="30"/>
      <c r="J562" s="30"/>
    </row>
    <row r="563" spans="1:10" ht="13.8">
      <c r="A563" s="30"/>
      <c r="B563" s="30"/>
      <c r="C563" s="10"/>
      <c r="D563" s="30"/>
      <c r="E563" s="30"/>
      <c r="F563" s="30"/>
      <c r="G563" s="30"/>
      <c r="H563" s="30"/>
      <c r="I563" s="30"/>
      <c r="J563" s="30"/>
    </row>
    <row r="564" spans="1:10" ht="13.8">
      <c r="A564" s="30"/>
      <c r="B564" s="30"/>
      <c r="C564" s="10"/>
      <c r="D564" s="30"/>
      <c r="E564" s="30"/>
      <c r="F564" s="30"/>
      <c r="G564" s="30"/>
      <c r="H564" s="30"/>
      <c r="I564" s="30"/>
      <c r="J564" s="30"/>
    </row>
    <row r="565" spans="1:10" ht="13.8">
      <c r="A565" s="30"/>
      <c r="B565" s="30"/>
      <c r="C565" s="10"/>
      <c r="D565" s="30"/>
      <c r="E565" s="30"/>
      <c r="F565" s="30"/>
      <c r="G565" s="30"/>
      <c r="H565" s="30"/>
      <c r="I565" s="30"/>
      <c r="J565" s="30"/>
    </row>
    <row r="566" spans="1:10" ht="13.8">
      <c r="A566" s="30"/>
      <c r="B566" s="30"/>
      <c r="C566" s="10"/>
      <c r="D566" s="30"/>
      <c r="E566" s="30"/>
      <c r="F566" s="30"/>
      <c r="G566" s="30"/>
      <c r="H566" s="30"/>
      <c r="I566" s="30"/>
      <c r="J566" s="30"/>
    </row>
    <row r="567" spans="1:10" ht="13.8">
      <c r="A567" s="30"/>
      <c r="B567" s="30"/>
      <c r="C567" s="10"/>
      <c r="D567" s="30"/>
      <c r="E567" s="30"/>
      <c r="F567" s="30"/>
      <c r="G567" s="30"/>
      <c r="H567" s="30"/>
      <c r="I567" s="30"/>
      <c r="J567" s="30"/>
    </row>
    <row r="568" spans="1:10" ht="13.8">
      <c r="A568" s="30"/>
      <c r="B568" s="30"/>
      <c r="C568" s="10"/>
      <c r="D568" s="30"/>
      <c r="E568" s="30"/>
      <c r="F568" s="30"/>
      <c r="G568" s="30"/>
      <c r="H568" s="30"/>
      <c r="I568" s="30"/>
      <c r="J568" s="30"/>
    </row>
    <row r="569" spans="1:10" ht="13.8">
      <c r="A569" s="30"/>
      <c r="B569" s="30"/>
      <c r="C569" s="10"/>
      <c r="D569" s="30"/>
      <c r="E569" s="30"/>
      <c r="F569" s="30"/>
      <c r="G569" s="30"/>
      <c r="H569" s="30"/>
      <c r="I569" s="30"/>
      <c r="J569" s="30"/>
    </row>
    <row r="570" spans="1:10" ht="13.8">
      <c r="A570" s="30"/>
      <c r="B570" s="30"/>
      <c r="C570" s="10"/>
      <c r="D570" s="30"/>
      <c r="E570" s="30"/>
      <c r="F570" s="30"/>
      <c r="G570" s="30"/>
      <c r="H570" s="30"/>
      <c r="I570" s="30"/>
      <c r="J570" s="30"/>
    </row>
    <row r="571" spans="1:10" ht="13.8">
      <c r="A571" s="30"/>
      <c r="B571" s="30"/>
      <c r="C571" s="10"/>
      <c r="D571" s="30"/>
      <c r="E571" s="30"/>
      <c r="F571" s="30"/>
      <c r="G571" s="30"/>
      <c r="H571" s="30"/>
      <c r="I571" s="30"/>
      <c r="J571" s="30"/>
    </row>
    <row r="572" spans="1:10" ht="13.8">
      <c r="A572" s="30"/>
      <c r="B572" s="30"/>
      <c r="C572" s="10"/>
      <c r="D572" s="30"/>
      <c r="E572" s="30"/>
      <c r="F572" s="30"/>
      <c r="G572" s="30"/>
      <c r="H572" s="30"/>
      <c r="I572" s="30"/>
      <c r="J572" s="30"/>
    </row>
    <row r="573" spans="1:10" ht="13.8">
      <c r="A573" s="30"/>
      <c r="B573" s="30"/>
      <c r="C573" s="10"/>
      <c r="D573" s="30"/>
      <c r="E573" s="30"/>
      <c r="F573" s="30"/>
      <c r="G573" s="30"/>
      <c r="H573" s="30"/>
      <c r="I573" s="30"/>
      <c r="J573" s="30"/>
    </row>
    <row r="574" spans="1:10" ht="13.8">
      <c r="A574" s="30"/>
      <c r="B574" s="30"/>
      <c r="C574" s="10"/>
      <c r="D574" s="30"/>
      <c r="E574" s="30"/>
      <c r="F574" s="30"/>
      <c r="G574" s="30"/>
      <c r="H574" s="30"/>
      <c r="I574" s="30"/>
      <c r="J574" s="30"/>
    </row>
    <row r="575" spans="1:10" ht="13.8">
      <c r="A575" s="30"/>
      <c r="B575" s="30"/>
      <c r="C575" s="10"/>
      <c r="D575" s="30"/>
      <c r="E575" s="30"/>
      <c r="F575" s="30"/>
      <c r="G575" s="30"/>
      <c r="H575" s="30"/>
      <c r="I575" s="30"/>
      <c r="J575" s="30"/>
    </row>
    <row r="576" spans="1:10" ht="13.8">
      <c r="A576" s="30"/>
      <c r="B576" s="30"/>
      <c r="C576" s="10"/>
      <c r="D576" s="30"/>
      <c r="E576" s="30"/>
      <c r="F576" s="30"/>
      <c r="G576" s="30"/>
      <c r="H576" s="30"/>
      <c r="I576" s="30"/>
      <c r="J576" s="30"/>
    </row>
    <row r="577" spans="1:10" ht="13.8">
      <c r="A577" s="30"/>
      <c r="B577" s="30"/>
      <c r="C577" s="10"/>
      <c r="D577" s="30"/>
      <c r="E577" s="30"/>
      <c r="F577" s="30"/>
      <c r="G577" s="30"/>
      <c r="H577" s="30"/>
      <c r="I577" s="30"/>
      <c r="J577" s="30"/>
    </row>
    <row r="578" spans="1:10" ht="13.8">
      <c r="A578" s="30"/>
      <c r="B578" s="30"/>
      <c r="C578" s="10"/>
      <c r="D578" s="30"/>
      <c r="E578" s="30"/>
      <c r="F578" s="30"/>
      <c r="G578" s="30"/>
      <c r="H578" s="30"/>
      <c r="I578" s="30"/>
      <c r="J578" s="30"/>
    </row>
    <row r="579" spans="1:10" ht="13.8">
      <c r="A579" s="30"/>
      <c r="B579" s="30"/>
      <c r="C579" s="10"/>
      <c r="D579" s="30"/>
      <c r="E579" s="30"/>
      <c r="F579" s="30"/>
      <c r="G579" s="30"/>
      <c r="H579" s="30"/>
      <c r="I579" s="30"/>
      <c r="J579" s="30"/>
    </row>
    <row r="580" spans="1:10" ht="13.8">
      <c r="A580" s="30"/>
      <c r="B580" s="30"/>
      <c r="C580" s="10"/>
      <c r="D580" s="30"/>
      <c r="E580" s="30"/>
      <c r="F580" s="30"/>
      <c r="G580" s="30"/>
      <c r="H580" s="30"/>
      <c r="I580" s="30"/>
      <c r="J580" s="30"/>
    </row>
    <row r="581" spans="1:10" ht="13.8">
      <c r="A581" s="30"/>
      <c r="B581" s="30"/>
      <c r="C581" s="10"/>
      <c r="D581" s="30"/>
      <c r="E581" s="30"/>
      <c r="F581" s="30"/>
      <c r="G581" s="30"/>
      <c r="H581" s="30"/>
      <c r="I581" s="30"/>
      <c r="J581" s="30"/>
    </row>
    <row r="582" spans="1:10" ht="13.8">
      <c r="A582" s="30"/>
      <c r="B582" s="30"/>
      <c r="C582" s="10"/>
      <c r="D582" s="30"/>
      <c r="E582" s="30"/>
      <c r="F582" s="30"/>
      <c r="G582" s="30"/>
      <c r="H582" s="30"/>
      <c r="I582" s="30"/>
      <c r="J582" s="30"/>
    </row>
    <row r="583" spans="1:10" ht="13.8">
      <c r="A583" s="30"/>
      <c r="B583" s="30"/>
      <c r="C583" s="10"/>
      <c r="D583" s="30"/>
      <c r="E583" s="30"/>
      <c r="F583" s="30"/>
      <c r="G583" s="30"/>
      <c r="H583" s="30"/>
      <c r="I583" s="30"/>
      <c r="J583" s="30"/>
    </row>
    <row r="584" spans="1:10" ht="13.8">
      <c r="A584" s="30"/>
      <c r="B584" s="30"/>
      <c r="C584" s="10"/>
      <c r="D584" s="30"/>
      <c r="E584" s="30"/>
      <c r="F584" s="30"/>
      <c r="G584" s="30"/>
      <c r="H584" s="30"/>
      <c r="I584" s="30"/>
      <c r="J584" s="30"/>
    </row>
    <row r="585" spans="1:10" ht="13.8">
      <c r="A585" s="30"/>
      <c r="B585" s="30"/>
      <c r="C585" s="10"/>
      <c r="D585" s="30"/>
      <c r="E585" s="30"/>
      <c r="F585" s="30"/>
      <c r="G585" s="30"/>
      <c r="H585" s="30"/>
      <c r="I585" s="30"/>
      <c r="J585" s="30"/>
    </row>
    <row r="586" spans="1:10" ht="13.8">
      <c r="A586" s="30"/>
      <c r="B586" s="30"/>
      <c r="C586" s="10"/>
      <c r="D586" s="30"/>
      <c r="E586" s="30"/>
      <c r="F586" s="30"/>
      <c r="G586" s="30"/>
      <c r="H586" s="30"/>
      <c r="I586" s="30"/>
      <c r="J586" s="30"/>
    </row>
    <row r="587" spans="1:10" ht="13.8">
      <c r="A587" s="30"/>
      <c r="B587" s="30"/>
      <c r="C587" s="10"/>
      <c r="D587" s="30"/>
      <c r="E587" s="30"/>
      <c r="F587" s="30"/>
      <c r="G587" s="30"/>
      <c r="H587" s="30"/>
      <c r="I587" s="30"/>
      <c r="J587" s="30"/>
    </row>
    <row r="588" spans="1:10" ht="13.8">
      <c r="A588" s="30"/>
      <c r="B588" s="30"/>
      <c r="C588" s="10"/>
      <c r="D588" s="30"/>
      <c r="E588" s="30"/>
      <c r="F588" s="30"/>
      <c r="G588" s="30"/>
      <c r="H588" s="30"/>
      <c r="I588" s="30"/>
      <c r="J588" s="30"/>
    </row>
    <row r="589" spans="1:10" ht="13.8">
      <c r="A589" s="30"/>
      <c r="B589" s="30"/>
      <c r="C589" s="10"/>
      <c r="D589" s="30"/>
      <c r="E589" s="30"/>
      <c r="F589" s="30"/>
      <c r="G589" s="30"/>
      <c r="H589" s="30"/>
      <c r="I589" s="30"/>
      <c r="J589" s="30"/>
    </row>
    <row r="590" spans="1:10" ht="13.8">
      <c r="A590" s="30"/>
      <c r="B590" s="30"/>
      <c r="C590" s="10"/>
      <c r="D590" s="30"/>
      <c r="E590" s="30"/>
      <c r="F590" s="30"/>
      <c r="G590" s="30"/>
      <c r="H590" s="30"/>
      <c r="I590" s="30"/>
      <c r="J590" s="30"/>
    </row>
    <row r="591" spans="1:10" ht="13.8">
      <c r="A591" s="30"/>
      <c r="B591" s="30"/>
      <c r="C591" s="10"/>
      <c r="D591" s="30"/>
      <c r="E591" s="30"/>
      <c r="F591" s="30"/>
      <c r="G591" s="30"/>
      <c r="H591" s="30"/>
      <c r="I591" s="30"/>
      <c r="J591" s="30"/>
    </row>
    <row r="592" spans="1:10" ht="13.8">
      <c r="A592" s="30"/>
      <c r="B592" s="30"/>
      <c r="C592" s="10"/>
      <c r="D592" s="30"/>
      <c r="E592" s="30"/>
      <c r="F592" s="30"/>
      <c r="G592" s="30"/>
      <c r="H592" s="30"/>
      <c r="I592" s="30"/>
      <c r="J592" s="30"/>
    </row>
    <row r="593" spans="1:10" ht="13.8">
      <c r="A593" s="30"/>
      <c r="B593" s="30"/>
      <c r="C593" s="10"/>
      <c r="D593" s="30"/>
      <c r="E593" s="30"/>
      <c r="F593" s="30"/>
      <c r="G593" s="30"/>
      <c r="H593" s="30"/>
      <c r="I593" s="30"/>
      <c r="J593" s="30"/>
    </row>
    <row r="594" spans="1:10" ht="13.8">
      <c r="A594" s="30"/>
      <c r="B594" s="30"/>
      <c r="C594" s="10"/>
      <c r="D594" s="30"/>
      <c r="E594" s="30"/>
      <c r="F594" s="30"/>
      <c r="G594" s="30"/>
      <c r="H594" s="30"/>
      <c r="I594" s="30"/>
      <c r="J594" s="30"/>
    </row>
    <row r="595" spans="1:10" ht="13.8">
      <c r="A595" s="30"/>
      <c r="B595" s="30"/>
      <c r="C595" s="10"/>
      <c r="D595" s="30"/>
      <c r="E595" s="30"/>
      <c r="F595" s="30"/>
      <c r="G595" s="30"/>
      <c r="H595" s="30"/>
      <c r="I595" s="30"/>
      <c r="J595" s="30"/>
    </row>
    <row r="596" spans="1:10" ht="13.8">
      <c r="A596" s="30"/>
      <c r="B596" s="30"/>
      <c r="C596" s="10"/>
      <c r="D596" s="30"/>
      <c r="E596" s="30"/>
      <c r="F596" s="30"/>
      <c r="G596" s="30"/>
      <c r="H596" s="30"/>
      <c r="I596" s="30"/>
      <c r="J596" s="30"/>
    </row>
    <row r="597" spans="1:10" ht="13.8">
      <c r="A597" s="30"/>
      <c r="B597" s="30"/>
      <c r="C597" s="10"/>
      <c r="D597" s="30"/>
      <c r="E597" s="30"/>
      <c r="F597" s="30"/>
      <c r="G597" s="30"/>
      <c r="H597" s="30"/>
      <c r="I597" s="30"/>
      <c r="J597" s="30"/>
    </row>
    <row r="598" spans="1:10" ht="13.8">
      <c r="A598" s="30"/>
      <c r="B598" s="30"/>
      <c r="C598" s="10"/>
      <c r="D598" s="30"/>
      <c r="E598" s="30"/>
      <c r="F598" s="30"/>
      <c r="G598" s="30"/>
      <c r="H598" s="30"/>
      <c r="I598" s="30"/>
      <c r="J598" s="30"/>
    </row>
    <row r="599" spans="1:10" ht="13.8">
      <c r="A599" s="30"/>
      <c r="B599" s="30"/>
      <c r="C599" s="10"/>
      <c r="D599" s="30"/>
      <c r="E599" s="30"/>
      <c r="F599" s="30"/>
      <c r="G599" s="30"/>
      <c r="H599" s="30"/>
      <c r="I599" s="30"/>
      <c r="J599" s="30"/>
    </row>
    <row r="600" spans="1:10" ht="13.8">
      <c r="A600" s="30"/>
      <c r="B600" s="30"/>
      <c r="C600" s="10"/>
      <c r="D600" s="30"/>
      <c r="E600" s="30"/>
      <c r="F600" s="30"/>
      <c r="G600" s="30"/>
      <c r="H600" s="30"/>
      <c r="I600" s="30"/>
      <c r="J600" s="30"/>
    </row>
    <row r="601" spans="1:10" ht="13.8">
      <c r="A601" s="30"/>
      <c r="B601" s="30"/>
      <c r="C601" s="10"/>
      <c r="D601" s="30"/>
      <c r="E601" s="30"/>
      <c r="F601" s="30"/>
      <c r="G601" s="30"/>
      <c r="H601" s="30"/>
      <c r="I601" s="30"/>
      <c r="J601" s="30"/>
    </row>
    <row r="602" spans="1:10" ht="13.8">
      <c r="A602" s="30"/>
      <c r="B602" s="30"/>
      <c r="C602" s="10"/>
      <c r="D602" s="30"/>
      <c r="E602" s="30"/>
      <c r="F602" s="30"/>
      <c r="G602" s="30"/>
      <c r="H602" s="30"/>
      <c r="I602" s="30"/>
      <c r="J602" s="30"/>
    </row>
    <row r="603" spans="1:10" ht="13.8">
      <c r="A603" s="30"/>
      <c r="B603" s="30"/>
      <c r="C603" s="10"/>
      <c r="D603" s="30"/>
      <c r="E603" s="30"/>
      <c r="F603" s="30"/>
      <c r="G603" s="30"/>
      <c r="H603" s="30"/>
      <c r="I603" s="30"/>
      <c r="J603" s="30"/>
    </row>
    <row r="604" spans="1:10" ht="13.8">
      <c r="A604" s="30"/>
      <c r="B604" s="30"/>
      <c r="C604" s="10"/>
      <c r="D604" s="30"/>
      <c r="E604" s="30"/>
      <c r="F604" s="30"/>
      <c r="G604" s="30"/>
      <c r="H604" s="30"/>
      <c r="I604" s="30"/>
      <c r="J604" s="30"/>
    </row>
    <row r="605" spans="1:10" ht="13.8">
      <c r="A605" s="30"/>
      <c r="B605" s="30"/>
      <c r="C605" s="10"/>
      <c r="D605" s="30"/>
      <c r="E605" s="30"/>
      <c r="F605" s="30"/>
      <c r="G605" s="30"/>
      <c r="H605" s="30"/>
      <c r="I605" s="30"/>
      <c r="J605" s="30"/>
    </row>
    <row r="606" spans="1:10" ht="13.8">
      <c r="A606" s="30"/>
      <c r="B606" s="30"/>
      <c r="C606" s="10"/>
      <c r="D606" s="30"/>
      <c r="E606" s="30"/>
      <c r="F606" s="30"/>
      <c r="G606" s="30"/>
      <c r="H606" s="30"/>
      <c r="I606" s="30"/>
      <c r="J606" s="30"/>
    </row>
    <row r="607" spans="1:10" ht="13.8">
      <c r="A607" s="30"/>
      <c r="B607" s="30"/>
      <c r="C607" s="10"/>
      <c r="D607" s="30"/>
      <c r="E607" s="30"/>
      <c r="F607" s="30"/>
      <c r="G607" s="30"/>
      <c r="H607" s="30"/>
      <c r="I607" s="30"/>
      <c r="J607" s="30"/>
    </row>
    <row r="608" spans="1:10" ht="13.8">
      <c r="A608" s="30"/>
      <c r="B608" s="30"/>
      <c r="C608" s="10"/>
      <c r="D608" s="30"/>
      <c r="E608" s="30"/>
      <c r="F608" s="30"/>
      <c r="G608" s="30"/>
      <c r="H608" s="30"/>
      <c r="I608" s="30"/>
      <c r="J608" s="30"/>
    </row>
    <row r="609" spans="1:10" ht="13.8">
      <c r="A609" s="30"/>
      <c r="B609" s="30"/>
      <c r="C609" s="10"/>
      <c r="D609" s="30"/>
      <c r="E609" s="30"/>
      <c r="F609" s="30"/>
      <c r="G609" s="30"/>
      <c r="H609" s="30"/>
      <c r="I609" s="30"/>
      <c r="J609" s="30"/>
    </row>
    <row r="610" spans="1:10" ht="13.8">
      <c r="A610" s="30"/>
      <c r="B610" s="30"/>
      <c r="C610" s="10"/>
      <c r="D610" s="30"/>
      <c r="E610" s="30"/>
      <c r="F610" s="30"/>
      <c r="G610" s="30"/>
      <c r="H610" s="30"/>
      <c r="I610" s="30"/>
      <c r="J610" s="30"/>
    </row>
    <row r="611" spans="1:10" ht="13.8">
      <c r="A611" s="30"/>
      <c r="B611" s="30"/>
      <c r="C611" s="10"/>
      <c r="D611" s="30"/>
      <c r="E611" s="30"/>
      <c r="F611" s="30"/>
      <c r="G611" s="30"/>
      <c r="H611" s="30"/>
      <c r="I611" s="30"/>
      <c r="J611" s="30"/>
    </row>
    <row r="612" spans="1:10" ht="13.8">
      <c r="A612" s="30"/>
      <c r="B612" s="30"/>
      <c r="C612" s="10"/>
      <c r="D612" s="30"/>
      <c r="E612" s="30"/>
      <c r="F612" s="30"/>
      <c r="G612" s="30"/>
      <c r="H612" s="30"/>
      <c r="I612" s="30"/>
      <c r="J612" s="30"/>
    </row>
    <row r="613" spans="1:10" ht="13.8">
      <c r="A613" s="30"/>
      <c r="B613" s="30"/>
      <c r="C613" s="10"/>
      <c r="D613" s="30"/>
      <c r="E613" s="30"/>
      <c r="F613" s="30"/>
      <c r="G613" s="30"/>
      <c r="H613" s="30"/>
      <c r="I613" s="30"/>
      <c r="J613" s="30"/>
    </row>
    <row r="614" spans="1:10" ht="13.8">
      <c r="A614" s="30"/>
      <c r="B614" s="30"/>
      <c r="C614" s="10"/>
      <c r="D614" s="30"/>
      <c r="E614" s="30"/>
      <c r="F614" s="30"/>
      <c r="G614" s="30"/>
      <c r="H614" s="30"/>
      <c r="I614" s="30"/>
      <c r="J614" s="30"/>
    </row>
    <row r="615" spans="1:10" ht="13.8">
      <c r="A615" s="30"/>
      <c r="B615" s="30"/>
      <c r="C615" s="10"/>
      <c r="D615" s="30"/>
      <c r="E615" s="30"/>
      <c r="F615" s="30"/>
      <c r="G615" s="30"/>
      <c r="H615" s="30"/>
      <c r="I615" s="30"/>
      <c r="J615" s="30"/>
    </row>
    <row r="616" spans="1:10" ht="13.8">
      <c r="A616" s="30"/>
      <c r="B616" s="30"/>
      <c r="C616" s="10"/>
      <c r="D616" s="30"/>
      <c r="E616" s="30"/>
      <c r="F616" s="30"/>
      <c r="G616" s="30"/>
      <c r="H616" s="30"/>
      <c r="I616" s="30"/>
      <c r="J616" s="30"/>
    </row>
    <row r="617" spans="1:10" ht="13.8">
      <c r="A617" s="30"/>
      <c r="B617" s="30"/>
      <c r="C617" s="10"/>
      <c r="D617" s="30"/>
      <c r="E617" s="30"/>
      <c r="F617" s="30"/>
      <c r="G617" s="30"/>
      <c r="H617" s="30"/>
      <c r="I617" s="30"/>
      <c r="J617" s="30"/>
    </row>
    <row r="618" spans="1:10" ht="13.8">
      <c r="A618" s="30"/>
      <c r="B618" s="30"/>
      <c r="C618" s="10"/>
      <c r="D618" s="30"/>
      <c r="E618" s="30"/>
      <c r="F618" s="30"/>
      <c r="G618" s="30"/>
      <c r="H618" s="30"/>
      <c r="I618" s="30"/>
      <c r="J618" s="30"/>
    </row>
    <row r="619" spans="1:10" ht="13.8">
      <c r="A619" s="30"/>
      <c r="B619" s="30"/>
      <c r="C619" s="10"/>
      <c r="D619" s="30"/>
      <c r="E619" s="30"/>
      <c r="F619" s="30"/>
      <c r="G619" s="30"/>
      <c r="H619" s="30"/>
      <c r="I619" s="30"/>
      <c r="J619" s="30"/>
    </row>
    <row r="620" spans="1:10" ht="13.8">
      <c r="A620" s="30"/>
      <c r="B620" s="30"/>
      <c r="C620" s="10"/>
      <c r="D620" s="30"/>
      <c r="E620" s="30"/>
      <c r="F620" s="30"/>
      <c r="G620" s="30"/>
      <c r="H620" s="30"/>
      <c r="I620" s="30"/>
      <c r="J620" s="30"/>
    </row>
    <row r="621" spans="1:10" ht="13.8">
      <c r="A621" s="30"/>
      <c r="B621" s="30"/>
      <c r="C621" s="10"/>
      <c r="D621" s="30"/>
      <c r="E621" s="30"/>
      <c r="F621" s="30"/>
      <c r="G621" s="30"/>
      <c r="H621" s="30"/>
      <c r="I621" s="30"/>
      <c r="J621" s="30"/>
    </row>
    <row r="622" spans="1:10" ht="13.8">
      <c r="A622" s="30"/>
      <c r="B622" s="30"/>
      <c r="C622" s="10"/>
      <c r="D622" s="30"/>
      <c r="E622" s="30"/>
      <c r="F622" s="30"/>
      <c r="G622" s="30"/>
      <c r="H622" s="30"/>
      <c r="I622" s="30"/>
      <c r="J622" s="30"/>
    </row>
    <row r="623" spans="1:10" ht="13.8">
      <c r="A623" s="30"/>
      <c r="B623" s="30"/>
      <c r="C623" s="10"/>
      <c r="D623" s="30"/>
      <c r="E623" s="30"/>
      <c r="F623" s="30"/>
      <c r="G623" s="30"/>
      <c r="H623" s="30"/>
      <c r="I623" s="30"/>
      <c r="J623" s="30"/>
    </row>
    <row r="624" spans="1:10" ht="13.8">
      <c r="A624" s="30"/>
      <c r="B624" s="30"/>
      <c r="C624" s="10"/>
      <c r="D624" s="30"/>
      <c r="E624" s="30"/>
      <c r="F624" s="30"/>
      <c r="G624" s="30"/>
      <c r="H624" s="30"/>
      <c r="I624" s="30"/>
      <c r="J624" s="30"/>
    </row>
    <row r="625" spans="1:10" ht="13.8">
      <c r="A625" s="30"/>
      <c r="B625" s="30"/>
      <c r="C625" s="10"/>
      <c r="D625" s="30"/>
      <c r="E625" s="30"/>
      <c r="F625" s="30"/>
      <c r="G625" s="30"/>
      <c r="H625" s="30"/>
      <c r="I625" s="30"/>
      <c r="J625" s="30"/>
    </row>
    <row r="626" spans="1:10" ht="13.8">
      <c r="A626" s="30"/>
      <c r="B626" s="30"/>
      <c r="C626" s="10"/>
      <c r="D626" s="30"/>
      <c r="E626" s="30"/>
      <c r="F626" s="30"/>
      <c r="G626" s="30"/>
      <c r="H626" s="30"/>
      <c r="I626" s="30"/>
      <c r="J626" s="30"/>
    </row>
    <row r="627" spans="1:10" ht="13.8">
      <c r="A627" s="30"/>
      <c r="B627" s="30"/>
      <c r="C627" s="10"/>
      <c r="D627" s="30"/>
      <c r="E627" s="30"/>
      <c r="F627" s="30"/>
      <c r="G627" s="30"/>
      <c r="H627" s="30"/>
      <c r="I627" s="30"/>
      <c r="J627" s="30"/>
    </row>
    <row r="628" spans="1:10" ht="13.8">
      <c r="A628" s="30"/>
      <c r="B628" s="30"/>
      <c r="C628" s="10"/>
      <c r="D628" s="30"/>
      <c r="E628" s="30"/>
      <c r="F628" s="30"/>
      <c r="G628" s="30"/>
      <c r="H628" s="30"/>
      <c r="I628" s="30"/>
      <c r="J628" s="30"/>
    </row>
    <row r="629" spans="1:10" ht="13.8">
      <c r="A629" s="30"/>
      <c r="B629" s="30"/>
      <c r="C629" s="10"/>
      <c r="D629" s="30"/>
      <c r="E629" s="30"/>
      <c r="F629" s="30"/>
      <c r="G629" s="30"/>
      <c r="H629" s="30"/>
      <c r="I629" s="30"/>
      <c r="J629" s="30"/>
    </row>
    <row r="630" spans="1:10" ht="13.8">
      <c r="A630" s="30"/>
      <c r="B630" s="30"/>
      <c r="C630" s="10"/>
      <c r="D630" s="30"/>
      <c r="E630" s="30"/>
      <c r="F630" s="30"/>
      <c r="G630" s="30"/>
      <c r="H630" s="30"/>
      <c r="I630" s="30"/>
      <c r="J630" s="30"/>
    </row>
    <row r="631" spans="1:10" ht="13.8">
      <c r="A631" s="30"/>
      <c r="B631" s="30"/>
      <c r="C631" s="10"/>
      <c r="D631" s="30"/>
      <c r="E631" s="30"/>
      <c r="F631" s="30"/>
      <c r="G631" s="30"/>
      <c r="H631" s="30"/>
      <c r="I631" s="30"/>
      <c r="J631" s="30"/>
    </row>
    <row r="632" spans="1:10" ht="13.8">
      <c r="A632" s="30"/>
      <c r="B632" s="30"/>
      <c r="C632" s="10"/>
      <c r="D632" s="30"/>
      <c r="E632" s="30"/>
      <c r="F632" s="30"/>
      <c r="G632" s="30"/>
      <c r="H632" s="30"/>
      <c r="I632" s="30"/>
      <c r="J632" s="30"/>
    </row>
    <row r="633" spans="1:10" ht="13.8">
      <c r="A633" s="30"/>
      <c r="B633" s="30"/>
      <c r="C633" s="10"/>
      <c r="D633" s="30"/>
      <c r="E633" s="30"/>
      <c r="F633" s="30"/>
      <c r="G633" s="30"/>
      <c r="H633" s="30"/>
      <c r="I633" s="30"/>
      <c r="J633" s="30"/>
    </row>
    <row r="634" spans="1:10" ht="13.8">
      <c r="A634" s="30"/>
      <c r="B634" s="30"/>
      <c r="C634" s="10"/>
      <c r="D634" s="30"/>
      <c r="E634" s="30"/>
      <c r="F634" s="30"/>
      <c r="G634" s="30"/>
      <c r="H634" s="30"/>
      <c r="I634" s="30"/>
      <c r="J634" s="30"/>
    </row>
    <row r="635" spans="1:10" ht="13.8">
      <c r="A635" s="30"/>
      <c r="B635" s="30"/>
      <c r="C635" s="10"/>
      <c r="D635" s="30"/>
      <c r="E635" s="30"/>
      <c r="F635" s="30"/>
      <c r="G635" s="30"/>
      <c r="H635" s="30"/>
      <c r="I635" s="30"/>
      <c r="J635" s="30"/>
    </row>
    <row r="636" spans="1:10" ht="13.8">
      <c r="A636" s="30"/>
      <c r="B636" s="30"/>
      <c r="C636" s="10"/>
      <c r="D636" s="30"/>
      <c r="E636" s="30"/>
      <c r="F636" s="30"/>
      <c r="G636" s="30"/>
      <c r="H636" s="30"/>
      <c r="I636" s="30"/>
      <c r="J636" s="30"/>
    </row>
    <row r="637" spans="1:10" ht="13.8">
      <c r="A637" s="30"/>
      <c r="B637" s="30"/>
      <c r="C637" s="10"/>
      <c r="D637" s="30"/>
      <c r="E637" s="30"/>
      <c r="F637" s="30"/>
      <c r="G637" s="30"/>
      <c r="H637" s="30"/>
      <c r="I637" s="30"/>
      <c r="J637" s="30"/>
    </row>
    <row r="638" spans="1:10" ht="13.8">
      <c r="A638" s="30"/>
      <c r="B638" s="30"/>
      <c r="C638" s="10"/>
      <c r="D638" s="30"/>
      <c r="E638" s="30"/>
      <c r="F638" s="30"/>
      <c r="G638" s="30"/>
      <c r="H638" s="30"/>
      <c r="I638" s="30"/>
      <c r="J638" s="30"/>
    </row>
    <row r="639" spans="1:10" ht="13.8">
      <c r="A639" s="30"/>
      <c r="B639" s="30"/>
      <c r="C639" s="10"/>
      <c r="D639" s="30"/>
      <c r="E639" s="30"/>
      <c r="F639" s="30"/>
      <c r="G639" s="30"/>
      <c r="H639" s="30"/>
      <c r="I639" s="30"/>
      <c r="J639" s="30"/>
    </row>
    <row r="640" spans="1:10" ht="13.8">
      <c r="A640" s="30"/>
      <c r="B640" s="30"/>
      <c r="C640" s="10"/>
      <c r="D640" s="30"/>
      <c r="E640" s="30"/>
      <c r="F640" s="30"/>
      <c r="G640" s="30"/>
      <c r="H640" s="30"/>
      <c r="I640" s="30"/>
      <c r="J640" s="30"/>
    </row>
    <row r="641" spans="1:10" ht="13.8">
      <c r="A641" s="30"/>
      <c r="B641" s="30"/>
      <c r="C641" s="10"/>
      <c r="D641" s="30"/>
      <c r="E641" s="30"/>
      <c r="F641" s="30"/>
      <c r="G641" s="30"/>
      <c r="H641" s="30"/>
      <c r="I641" s="30"/>
      <c r="J641" s="30"/>
    </row>
    <row r="642" spans="1:10" ht="13.8">
      <c r="A642" s="30"/>
      <c r="B642" s="30"/>
      <c r="C642" s="10"/>
      <c r="D642" s="30"/>
      <c r="E642" s="30"/>
      <c r="F642" s="30"/>
      <c r="G642" s="30"/>
      <c r="H642" s="30"/>
      <c r="I642" s="30"/>
      <c r="J642" s="30"/>
    </row>
    <row r="643" spans="1:10" ht="13.8">
      <c r="A643" s="30"/>
      <c r="B643" s="30"/>
      <c r="C643" s="10"/>
      <c r="D643" s="30"/>
      <c r="E643" s="30"/>
      <c r="F643" s="30"/>
      <c r="G643" s="30"/>
      <c r="H643" s="30"/>
      <c r="I643" s="30"/>
      <c r="J643" s="30"/>
    </row>
    <row r="644" spans="1:10" ht="13.8">
      <c r="A644" s="30"/>
      <c r="B644" s="30"/>
      <c r="C644" s="10"/>
      <c r="D644" s="30"/>
      <c r="E644" s="30"/>
      <c r="F644" s="30"/>
      <c r="G644" s="30"/>
      <c r="H644" s="30"/>
      <c r="I644" s="30"/>
      <c r="J644" s="30"/>
    </row>
    <row r="645" spans="1:10" ht="13.8">
      <c r="A645" s="30"/>
      <c r="B645" s="30"/>
      <c r="C645" s="10"/>
      <c r="D645" s="30"/>
      <c r="E645" s="30"/>
      <c r="F645" s="30"/>
      <c r="G645" s="30"/>
      <c r="H645" s="30"/>
      <c r="I645" s="30"/>
      <c r="J645" s="30"/>
    </row>
    <row r="646" spans="1:10" ht="13.8">
      <c r="A646" s="30"/>
      <c r="B646" s="30"/>
      <c r="C646" s="10"/>
      <c r="D646" s="30"/>
      <c r="E646" s="30"/>
      <c r="F646" s="30"/>
      <c r="G646" s="30"/>
      <c r="H646" s="30"/>
      <c r="I646" s="30"/>
      <c r="J646" s="30"/>
    </row>
    <row r="647" spans="1:10" ht="13.8">
      <c r="A647" s="30"/>
      <c r="B647" s="30"/>
      <c r="C647" s="10"/>
      <c r="D647" s="30"/>
      <c r="E647" s="30"/>
      <c r="F647" s="30"/>
      <c r="G647" s="30"/>
      <c r="H647" s="30"/>
      <c r="I647" s="30"/>
      <c r="J647" s="30"/>
    </row>
    <row r="648" spans="1:10" ht="13.8">
      <c r="A648" s="30"/>
      <c r="B648" s="30"/>
      <c r="C648" s="10"/>
      <c r="D648" s="30"/>
      <c r="E648" s="30"/>
      <c r="F648" s="30"/>
      <c r="G648" s="30"/>
      <c r="H648" s="30"/>
      <c r="I648" s="30"/>
      <c r="J648" s="30"/>
    </row>
    <row r="649" spans="1:10" ht="13.8">
      <c r="A649" s="30"/>
      <c r="B649" s="30"/>
      <c r="C649" s="10"/>
      <c r="D649" s="30"/>
      <c r="E649" s="30"/>
      <c r="F649" s="30"/>
      <c r="G649" s="30"/>
      <c r="H649" s="30"/>
      <c r="I649" s="30"/>
      <c r="J649" s="30"/>
    </row>
    <row r="650" spans="1:10" ht="13.8">
      <c r="A650" s="30"/>
      <c r="B650" s="30"/>
      <c r="C650" s="10"/>
      <c r="D650" s="30"/>
      <c r="E650" s="30"/>
      <c r="F650" s="30"/>
      <c r="G650" s="30"/>
      <c r="H650" s="30"/>
      <c r="I650" s="30"/>
      <c r="J650" s="30"/>
    </row>
    <row r="651" spans="1:10" ht="13.8">
      <c r="A651" s="30"/>
      <c r="B651" s="30"/>
      <c r="C651" s="10"/>
      <c r="D651" s="30"/>
      <c r="E651" s="30"/>
      <c r="F651" s="30"/>
      <c r="G651" s="30"/>
      <c r="H651" s="30"/>
      <c r="I651" s="30"/>
      <c r="J651" s="30"/>
    </row>
    <row r="652" spans="1:10" ht="13.8">
      <c r="A652" s="30"/>
      <c r="B652" s="30"/>
      <c r="C652" s="10"/>
      <c r="D652" s="30"/>
      <c r="E652" s="30"/>
      <c r="F652" s="30"/>
      <c r="G652" s="30"/>
      <c r="H652" s="30"/>
      <c r="I652" s="30"/>
      <c r="J652" s="30"/>
    </row>
    <row r="653" spans="1:10" ht="13.8">
      <c r="A653" s="30"/>
      <c r="B653" s="30"/>
      <c r="C653" s="10"/>
      <c r="D653" s="30"/>
      <c r="E653" s="30"/>
      <c r="F653" s="30"/>
      <c r="G653" s="30"/>
      <c r="H653" s="30"/>
      <c r="I653" s="30"/>
      <c r="J653" s="30"/>
    </row>
    <row r="654" spans="1:10" ht="13.8">
      <c r="A654" s="30"/>
      <c r="B654" s="30"/>
      <c r="C654" s="10"/>
      <c r="D654" s="30"/>
      <c r="E654" s="30"/>
      <c r="F654" s="30"/>
      <c r="G654" s="30"/>
      <c r="H654" s="30"/>
      <c r="I654" s="30"/>
      <c r="J654" s="30"/>
    </row>
    <row r="655" spans="1:10" ht="13.8">
      <c r="A655" s="30"/>
      <c r="B655" s="30"/>
      <c r="C655" s="10"/>
      <c r="D655" s="30"/>
      <c r="E655" s="30"/>
      <c r="F655" s="30"/>
      <c r="G655" s="30"/>
      <c r="H655" s="30"/>
      <c r="I655" s="30"/>
      <c r="J655" s="30"/>
    </row>
    <row r="656" spans="1:10" ht="13.8">
      <c r="A656" s="30"/>
      <c r="B656" s="30"/>
      <c r="C656" s="10"/>
      <c r="D656" s="30"/>
      <c r="E656" s="30"/>
      <c r="F656" s="30"/>
      <c r="G656" s="30"/>
      <c r="H656" s="30"/>
      <c r="I656" s="30"/>
      <c r="J656" s="30"/>
    </row>
    <row r="657" spans="1:10" ht="13.8">
      <c r="A657" s="30"/>
      <c r="B657" s="30"/>
      <c r="C657" s="10"/>
      <c r="D657" s="30"/>
      <c r="E657" s="30"/>
      <c r="F657" s="30"/>
      <c r="G657" s="30"/>
      <c r="H657" s="30"/>
      <c r="I657" s="30"/>
      <c r="J657" s="30"/>
    </row>
    <row r="658" spans="1:10" ht="13.8">
      <c r="A658" s="30"/>
      <c r="B658" s="30"/>
      <c r="C658" s="10"/>
      <c r="D658" s="30"/>
      <c r="E658" s="30"/>
      <c r="F658" s="30"/>
      <c r="G658" s="30"/>
      <c r="H658" s="30"/>
      <c r="I658" s="30"/>
      <c r="J658" s="30"/>
    </row>
    <row r="659" spans="1:10" ht="13.8">
      <c r="A659" s="30"/>
      <c r="B659" s="30"/>
      <c r="C659" s="10"/>
      <c r="D659" s="30"/>
      <c r="E659" s="30"/>
      <c r="F659" s="30"/>
      <c r="G659" s="30"/>
      <c r="H659" s="30"/>
      <c r="I659" s="30"/>
      <c r="J659" s="30"/>
    </row>
    <row r="660" spans="1:10" ht="13.8">
      <c r="A660" s="30"/>
      <c r="B660" s="30"/>
      <c r="C660" s="10"/>
      <c r="D660" s="30"/>
      <c r="E660" s="30"/>
      <c r="F660" s="30"/>
      <c r="G660" s="30"/>
      <c r="H660" s="30"/>
      <c r="I660" s="30"/>
      <c r="J660" s="30"/>
    </row>
    <row r="661" spans="1:10" ht="13.8">
      <c r="A661" s="30"/>
      <c r="B661" s="30"/>
      <c r="C661" s="10"/>
      <c r="D661" s="30"/>
      <c r="E661" s="30"/>
      <c r="F661" s="30"/>
      <c r="G661" s="30"/>
      <c r="H661" s="30"/>
      <c r="I661" s="30"/>
      <c r="J661" s="30"/>
    </row>
    <row r="662" spans="1:10" ht="13.8">
      <c r="A662" s="30"/>
      <c r="B662" s="30"/>
      <c r="C662" s="10"/>
      <c r="D662" s="30"/>
      <c r="E662" s="30"/>
      <c r="F662" s="30"/>
      <c r="G662" s="30"/>
      <c r="H662" s="30"/>
      <c r="I662" s="30"/>
      <c r="J662" s="30"/>
    </row>
    <row r="663" spans="1:10" ht="13.8">
      <c r="A663" s="30"/>
      <c r="B663" s="30"/>
      <c r="C663" s="10"/>
      <c r="D663" s="30"/>
      <c r="E663" s="30"/>
      <c r="F663" s="30"/>
      <c r="G663" s="30"/>
      <c r="H663" s="30"/>
      <c r="I663" s="30"/>
      <c r="J663" s="30"/>
    </row>
    <row r="664" spans="1:10" ht="13.8">
      <c r="A664" s="30"/>
      <c r="B664" s="30"/>
      <c r="C664" s="10"/>
      <c r="D664" s="30"/>
      <c r="E664" s="30"/>
      <c r="F664" s="30"/>
      <c r="G664" s="30"/>
      <c r="H664" s="30"/>
      <c r="I664" s="30"/>
      <c r="J664" s="30"/>
    </row>
    <row r="665" spans="1:10" ht="13.8">
      <c r="A665" s="30"/>
      <c r="B665" s="30"/>
      <c r="C665" s="10"/>
      <c r="D665" s="30"/>
      <c r="E665" s="30"/>
      <c r="F665" s="30"/>
      <c r="G665" s="30"/>
      <c r="H665" s="30"/>
      <c r="I665" s="30"/>
      <c r="J665" s="30"/>
    </row>
    <row r="666" spans="1:10" ht="13.8">
      <c r="A666" s="30"/>
      <c r="B666" s="30"/>
      <c r="C666" s="10"/>
      <c r="D666" s="30"/>
      <c r="E666" s="30"/>
      <c r="F666" s="30"/>
      <c r="G666" s="30"/>
      <c r="H666" s="30"/>
      <c r="I666" s="30"/>
      <c r="J666" s="30"/>
    </row>
    <row r="667" spans="1:10" ht="13.8">
      <c r="A667" s="30"/>
      <c r="B667" s="30"/>
      <c r="C667" s="10"/>
      <c r="D667" s="30"/>
      <c r="E667" s="30"/>
      <c r="F667" s="30"/>
      <c r="G667" s="30"/>
      <c r="H667" s="30"/>
      <c r="I667" s="30"/>
      <c r="J667" s="30"/>
    </row>
    <row r="668" spans="1:10" ht="13.8">
      <c r="A668" s="30"/>
      <c r="B668" s="30"/>
      <c r="C668" s="10"/>
      <c r="D668" s="30"/>
      <c r="E668" s="30"/>
      <c r="F668" s="30"/>
      <c r="G668" s="30"/>
      <c r="H668" s="30"/>
      <c r="I668" s="30"/>
      <c r="J668" s="30"/>
    </row>
    <row r="669" spans="1:10" ht="13.8">
      <c r="A669" s="30"/>
      <c r="B669" s="30"/>
      <c r="C669" s="10"/>
      <c r="D669" s="30"/>
      <c r="E669" s="30"/>
      <c r="F669" s="30"/>
      <c r="G669" s="30"/>
      <c r="H669" s="30"/>
      <c r="I669" s="30"/>
      <c r="J669" s="30"/>
    </row>
    <row r="670" spans="1:10" ht="13.8">
      <c r="A670" s="30"/>
      <c r="B670" s="30"/>
      <c r="C670" s="10"/>
      <c r="D670" s="30"/>
      <c r="E670" s="30"/>
      <c r="F670" s="30"/>
      <c r="G670" s="30"/>
      <c r="H670" s="30"/>
      <c r="I670" s="30"/>
      <c r="J670" s="30"/>
    </row>
    <row r="671" spans="1:10" ht="13.8">
      <c r="A671" s="30"/>
      <c r="B671" s="30"/>
      <c r="C671" s="10"/>
      <c r="D671" s="30"/>
      <c r="E671" s="30"/>
      <c r="F671" s="30"/>
      <c r="G671" s="30"/>
      <c r="H671" s="30"/>
      <c r="I671" s="30"/>
      <c r="J671" s="30"/>
    </row>
    <row r="672" spans="1:10" ht="13.8">
      <c r="A672" s="30"/>
      <c r="B672" s="30"/>
      <c r="C672" s="10"/>
      <c r="D672" s="30"/>
      <c r="E672" s="30"/>
      <c r="F672" s="30"/>
      <c r="G672" s="30"/>
      <c r="H672" s="30"/>
      <c r="I672" s="30"/>
      <c r="J672" s="30"/>
    </row>
    <row r="673" spans="1:10" ht="13.8">
      <c r="A673" s="30"/>
      <c r="B673" s="30"/>
      <c r="C673" s="10"/>
      <c r="D673" s="30"/>
      <c r="E673" s="30"/>
      <c r="F673" s="30"/>
      <c r="G673" s="30"/>
      <c r="H673" s="30"/>
      <c r="I673" s="30"/>
      <c r="J673" s="30"/>
    </row>
    <row r="674" spans="1:10" ht="13.8">
      <c r="A674" s="30"/>
      <c r="B674" s="30"/>
      <c r="C674" s="10"/>
      <c r="D674" s="30"/>
      <c r="E674" s="30"/>
      <c r="F674" s="30"/>
      <c r="G674" s="30"/>
      <c r="H674" s="30"/>
      <c r="I674" s="30"/>
      <c r="J674" s="30"/>
    </row>
    <row r="675" spans="1:10" ht="13.8">
      <c r="A675" s="30"/>
      <c r="B675" s="30"/>
      <c r="C675" s="10"/>
      <c r="D675" s="30"/>
      <c r="E675" s="30"/>
      <c r="F675" s="30"/>
      <c r="G675" s="30"/>
      <c r="H675" s="30"/>
      <c r="I675" s="30"/>
      <c r="J675" s="30"/>
    </row>
    <row r="676" spans="1:10" ht="13.8">
      <c r="A676" s="30"/>
      <c r="B676" s="30"/>
      <c r="C676" s="10"/>
      <c r="D676" s="30"/>
      <c r="E676" s="30"/>
      <c r="F676" s="30"/>
      <c r="G676" s="30"/>
      <c r="H676" s="30"/>
      <c r="I676" s="30"/>
      <c r="J676" s="30"/>
    </row>
    <row r="677" spans="1:10" ht="13.8">
      <c r="A677" s="30"/>
      <c r="B677" s="30"/>
      <c r="C677" s="10"/>
      <c r="D677" s="30"/>
      <c r="E677" s="30"/>
      <c r="F677" s="30"/>
      <c r="G677" s="30"/>
      <c r="H677" s="30"/>
      <c r="I677" s="30"/>
      <c r="J677" s="30"/>
    </row>
    <row r="678" spans="1:10" ht="13.8">
      <c r="A678" s="30"/>
      <c r="B678" s="30"/>
      <c r="C678" s="10"/>
      <c r="D678" s="30"/>
      <c r="E678" s="30"/>
      <c r="F678" s="30"/>
      <c r="G678" s="30"/>
      <c r="H678" s="30"/>
      <c r="I678" s="30"/>
      <c r="J678" s="30"/>
    </row>
    <row r="679" spans="1:10" ht="13.8">
      <c r="A679" s="30"/>
      <c r="B679" s="30"/>
      <c r="C679" s="10"/>
      <c r="D679" s="30"/>
      <c r="E679" s="30"/>
      <c r="F679" s="30"/>
      <c r="G679" s="30"/>
      <c r="H679" s="30"/>
      <c r="I679" s="30"/>
      <c r="J679" s="30"/>
    </row>
    <row r="680" spans="1:10" ht="13.8">
      <c r="A680" s="30"/>
      <c r="B680" s="30"/>
      <c r="C680" s="10"/>
      <c r="D680" s="30"/>
      <c r="E680" s="30"/>
      <c r="F680" s="30"/>
      <c r="G680" s="30"/>
      <c r="H680" s="30"/>
      <c r="I680" s="30"/>
      <c r="J680" s="30"/>
    </row>
    <row r="681" spans="1:10" ht="13.8">
      <c r="A681" s="30"/>
      <c r="B681" s="30"/>
      <c r="C681" s="10"/>
      <c r="D681" s="30"/>
      <c r="E681" s="30"/>
      <c r="F681" s="30"/>
      <c r="G681" s="30"/>
      <c r="H681" s="30"/>
      <c r="I681" s="30"/>
      <c r="J681" s="30"/>
    </row>
    <row r="682" spans="1:10" ht="13.8">
      <c r="A682" s="30"/>
      <c r="B682" s="30"/>
      <c r="C682" s="10"/>
      <c r="D682" s="30"/>
      <c r="E682" s="30"/>
      <c r="F682" s="30"/>
      <c r="G682" s="30"/>
      <c r="H682" s="30"/>
      <c r="I682" s="30"/>
      <c r="J682" s="30"/>
    </row>
    <row r="683" spans="1:10" ht="13.8">
      <c r="A683" s="30"/>
      <c r="B683" s="30"/>
      <c r="C683" s="10"/>
      <c r="D683" s="30"/>
      <c r="E683" s="30"/>
      <c r="F683" s="30"/>
      <c r="G683" s="30"/>
      <c r="H683" s="30"/>
      <c r="I683" s="30"/>
      <c r="J683" s="30"/>
    </row>
    <row r="684" spans="1:10" ht="13.8">
      <c r="A684" s="30"/>
      <c r="B684" s="30"/>
      <c r="C684" s="10"/>
      <c r="D684" s="30"/>
      <c r="E684" s="30"/>
      <c r="F684" s="30"/>
      <c r="G684" s="30"/>
      <c r="H684" s="30"/>
      <c r="I684" s="30"/>
      <c r="J684" s="30"/>
    </row>
    <row r="685" spans="1:10" ht="13.8">
      <c r="A685" s="30"/>
      <c r="B685" s="30"/>
      <c r="C685" s="10"/>
      <c r="D685" s="30"/>
      <c r="E685" s="30"/>
      <c r="F685" s="30"/>
      <c r="G685" s="30"/>
      <c r="H685" s="30"/>
      <c r="I685" s="30"/>
      <c r="J685" s="30"/>
    </row>
    <row r="686" spans="1:10" ht="13.8">
      <c r="A686" s="30"/>
      <c r="B686" s="30"/>
      <c r="C686" s="10"/>
      <c r="D686" s="30"/>
      <c r="E686" s="30"/>
      <c r="F686" s="30"/>
      <c r="G686" s="30"/>
      <c r="H686" s="30"/>
      <c r="I686" s="30"/>
      <c r="J686" s="30"/>
    </row>
    <row r="687" spans="1:10" ht="13.8">
      <c r="A687" s="30"/>
      <c r="B687" s="30"/>
      <c r="C687" s="10"/>
      <c r="D687" s="30"/>
      <c r="E687" s="30"/>
      <c r="F687" s="30"/>
      <c r="G687" s="30"/>
      <c r="H687" s="30"/>
      <c r="I687" s="30"/>
      <c r="J687" s="30"/>
    </row>
    <row r="688" spans="1:10" ht="13.8">
      <c r="A688" s="30"/>
      <c r="B688" s="30"/>
      <c r="C688" s="10"/>
      <c r="D688" s="30"/>
      <c r="E688" s="30"/>
      <c r="F688" s="30"/>
      <c r="G688" s="30"/>
      <c r="H688" s="30"/>
      <c r="I688" s="30"/>
      <c r="J688" s="30"/>
    </row>
    <row r="689" spans="1:10" ht="13.8">
      <c r="A689" s="30"/>
      <c r="B689" s="30"/>
      <c r="C689" s="10"/>
      <c r="D689" s="30"/>
      <c r="E689" s="30"/>
      <c r="F689" s="30"/>
      <c r="G689" s="30"/>
      <c r="H689" s="30"/>
      <c r="I689" s="30"/>
      <c r="J689" s="30"/>
    </row>
    <row r="690" spans="1:10" ht="13.8">
      <c r="A690" s="30"/>
      <c r="B690" s="30"/>
      <c r="C690" s="10"/>
      <c r="D690" s="30"/>
      <c r="E690" s="30"/>
      <c r="F690" s="30"/>
      <c r="G690" s="30"/>
      <c r="H690" s="30"/>
      <c r="I690" s="30"/>
      <c r="J690" s="30"/>
    </row>
    <row r="691" spans="1:10" ht="13.8">
      <c r="A691" s="30"/>
      <c r="B691" s="30"/>
      <c r="C691" s="10"/>
      <c r="D691" s="30"/>
      <c r="E691" s="30"/>
      <c r="F691" s="30"/>
      <c r="G691" s="30"/>
      <c r="H691" s="30"/>
      <c r="I691" s="30"/>
      <c r="J691" s="30"/>
    </row>
    <row r="692" spans="1:10" ht="13.8">
      <c r="A692" s="30"/>
      <c r="B692" s="30"/>
      <c r="C692" s="10"/>
      <c r="D692" s="30"/>
      <c r="E692" s="30"/>
      <c r="F692" s="30"/>
      <c r="G692" s="30"/>
      <c r="H692" s="30"/>
      <c r="I692" s="30"/>
      <c r="J692" s="30"/>
    </row>
    <row r="693" spans="1:10" ht="13.8">
      <c r="A693" s="30"/>
      <c r="B693" s="30"/>
      <c r="C693" s="10"/>
      <c r="D693" s="30"/>
      <c r="E693" s="30"/>
      <c r="F693" s="30"/>
      <c r="G693" s="30"/>
      <c r="H693" s="30"/>
      <c r="I693" s="30"/>
      <c r="J693" s="30"/>
    </row>
    <row r="694" spans="1:10" ht="13.8">
      <c r="A694" s="30"/>
      <c r="B694" s="30"/>
      <c r="C694" s="10"/>
      <c r="D694" s="30"/>
      <c r="E694" s="30"/>
      <c r="F694" s="30"/>
      <c r="G694" s="30"/>
      <c r="H694" s="30"/>
      <c r="I694" s="30"/>
      <c r="J694" s="30"/>
    </row>
    <row r="695" spans="1:10" ht="13.8">
      <c r="A695" s="30"/>
      <c r="B695" s="30"/>
      <c r="C695" s="10"/>
      <c r="D695" s="30"/>
      <c r="E695" s="30"/>
      <c r="F695" s="30"/>
      <c r="G695" s="30"/>
      <c r="H695" s="30"/>
      <c r="I695" s="30"/>
      <c r="J695" s="30"/>
    </row>
    <row r="696" spans="1:10" ht="13.8">
      <c r="A696" s="30"/>
      <c r="B696" s="30"/>
      <c r="C696" s="10"/>
      <c r="D696" s="30"/>
      <c r="E696" s="30"/>
      <c r="F696" s="30"/>
      <c r="G696" s="30"/>
      <c r="H696" s="30"/>
      <c r="I696" s="30"/>
      <c r="J696" s="30"/>
    </row>
    <row r="697" spans="1:10" ht="13.8">
      <c r="A697" s="30"/>
      <c r="B697" s="30"/>
      <c r="C697" s="10"/>
      <c r="D697" s="30"/>
      <c r="E697" s="30"/>
      <c r="F697" s="30"/>
      <c r="G697" s="30"/>
      <c r="H697" s="30"/>
      <c r="I697" s="30"/>
      <c r="J697" s="30"/>
    </row>
    <row r="698" spans="1:10" ht="13.8">
      <c r="A698" s="30"/>
      <c r="B698" s="30"/>
      <c r="C698" s="10"/>
      <c r="D698" s="30"/>
      <c r="E698" s="30"/>
      <c r="F698" s="30"/>
      <c r="G698" s="30"/>
      <c r="H698" s="30"/>
      <c r="I698" s="30"/>
      <c r="J698" s="30"/>
    </row>
    <row r="699" spans="1:10" ht="13.8">
      <c r="A699" s="30"/>
      <c r="B699" s="30"/>
      <c r="C699" s="10"/>
      <c r="D699" s="30"/>
      <c r="E699" s="30"/>
      <c r="F699" s="30"/>
      <c r="G699" s="30"/>
      <c r="H699" s="30"/>
      <c r="I699" s="30"/>
      <c r="J699" s="30"/>
    </row>
    <row r="700" spans="1:10" ht="13.8">
      <c r="A700" s="30"/>
      <c r="B700" s="30"/>
      <c r="C700" s="10"/>
      <c r="D700" s="30"/>
      <c r="E700" s="30"/>
      <c r="F700" s="30"/>
      <c r="G700" s="30"/>
      <c r="H700" s="30"/>
      <c r="I700" s="30"/>
      <c r="J700" s="30"/>
    </row>
    <row r="701" spans="1:10" ht="13.8">
      <c r="A701" s="30"/>
      <c r="B701" s="30"/>
      <c r="C701" s="10"/>
      <c r="D701" s="30"/>
      <c r="E701" s="30"/>
      <c r="F701" s="30"/>
      <c r="G701" s="30"/>
      <c r="H701" s="30"/>
      <c r="I701" s="30"/>
      <c r="J701" s="30"/>
    </row>
    <row r="702" spans="1:10" ht="13.8">
      <c r="A702" s="30"/>
      <c r="B702" s="30"/>
      <c r="C702" s="10"/>
      <c r="D702" s="30"/>
      <c r="E702" s="30"/>
      <c r="F702" s="30"/>
      <c r="G702" s="30"/>
      <c r="H702" s="30"/>
      <c r="I702" s="30"/>
      <c r="J702" s="30"/>
    </row>
    <row r="703" spans="1:10" ht="13.8">
      <c r="A703" s="30"/>
      <c r="B703" s="30"/>
      <c r="C703" s="10"/>
      <c r="D703" s="30"/>
      <c r="E703" s="30"/>
      <c r="F703" s="30"/>
      <c r="G703" s="30"/>
      <c r="H703" s="30"/>
      <c r="I703" s="30"/>
      <c r="J703" s="30"/>
    </row>
    <row r="704" spans="1:10" ht="13.8">
      <c r="A704" s="30"/>
      <c r="B704" s="30"/>
      <c r="C704" s="10"/>
      <c r="D704" s="30"/>
      <c r="E704" s="30"/>
      <c r="F704" s="30"/>
      <c r="G704" s="30"/>
      <c r="H704" s="30"/>
      <c r="I704" s="30"/>
      <c r="J704" s="30"/>
    </row>
    <row r="705" spans="1:10" ht="13.8">
      <c r="A705" s="30"/>
      <c r="B705" s="30"/>
      <c r="C705" s="10"/>
      <c r="D705" s="30"/>
      <c r="E705" s="30"/>
      <c r="F705" s="30"/>
      <c r="G705" s="30"/>
      <c r="H705" s="30"/>
      <c r="I705" s="30"/>
      <c r="J705" s="30"/>
    </row>
    <row r="706" spans="1:10" ht="13.8">
      <c r="A706" s="30"/>
      <c r="B706" s="30"/>
      <c r="C706" s="10"/>
      <c r="D706" s="30"/>
      <c r="E706" s="30"/>
      <c r="F706" s="30"/>
      <c r="G706" s="30"/>
      <c r="H706" s="30"/>
      <c r="I706" s="30"/>
      <c r="J706" s="30"/>
    </row>
    <row r="707" spans="1:10" ht="13.8">
      <c r="A707" s="30"/>
      <c r="B707" s="30"/>
      <c r="C707" s="10"/>
      <c r="D707" s="30"/>
      <c r="E707" s="30"/>
      <c r="F707" s="30"/>
      <c r="G707" s="30"/>
      <c r="H707" s="30"/>
      <c r="I707" s="30"/>
      <c r="J707" s="30"/>
    </row>
    <row r="708" spans="1:10" ht="13.8">
      <c r="A708" s="30"/>
      <c r="B708" s="30"/>
      <c r="C708" s="10"/>
      <c r="D708" s="30"/>
      <c r="E708" s="30"/>
      <c r="F708" s="30"/>
      <c r="G708" s="30"/>
      <c r="H708" s="30"/>
      <c r="I708" s="30"/>
      <c r="J708" s="30"/>
    </row>
    <row r="709" spans="1:10" ht="13.8">
      <c r="A709" s="30"/>
      <c r="B709" s="30"/>
      <c r="C709" s="10"/>
      <c r="D709" s="30"/>
      <c r="E709" s="30"/>
      <c r="F709" s="30"/>
      <c r="G709" s="30"/>
      <c r="H709" s="30"/>
      <c r="I709" s="30"/>
      <c r="J709" s="30"/>
    </row>
    <row r="710" spans="1:10" ht="13.8">
      <c r="A710" s="30"/>
      <c r="B710" s="30"/>
      <c r="C710" s="10"/>
      <c r="D710" s="30"/>
      <c r="E710" s="30"/>
      <c r="F710" s="30"/>
      <c r="G710" s="30"/>
      <c r="H710" s="30"/>
      <c r="I710" s="30"/>
      <c r="J710" s="30"/>
    </row>
    <row r="711" spans="1:10" ht="13.8">
      <c r="A711" s="30"/>
      <c r="B711" s="30"/>
      <c r="C711" s="10"/>
      <c r="D711" s="30"/>
      <c r="E711" s="30"/>
      <c r="F711" s="30"/>
      <c r="G711" s="30"/>
      <c r="H711" s="30"/>
      <c r="I711" s="30"/>
      <c r="J711" s="30"/>
    </row>
    <row r="712" spans="1:10" ht="13.8">
      <c r="A712" s="30"/>
      <c r="B712" s="30"/>
      <c r="C712" s="10"/>
      <c r="D712" s="30"/>
      <c r="E712" s="30"/>
      <c r="F712" s="30"/>
      <c r="G712" s="30"/>
      <c r="H712" s="30"/>
      <c r="I712" s="30"/>
      <c r="J712" s="30"/>
    </row>
    <row r="713" spans="1:10" ht="13.8">
      <c r="A713" s="30"/>
      <c r="B713" s="30"/>
      <c r="C713" s="10"/>
      <c r="D713" s="30"/>
      <c r="E713" s="30"/>
      <c r="F713" s="30"/>
      <c r="G713" s="30"/>
      <c r="H713" s="30"/>
      <c r="I713" s="30"/>
      <c r="J713" s="30"/>
    </row>
    <row r="714" spans="1:10" ht="13.8">
      <c r="A714" s="30"/>
      <c r="B714" s="30"/>
      <c r="C714" s="10"/>
      <c r="D714" s="30"/>
      <c r="E714" s="30"/>
      <c r="F714" s="30"/>
      <c r="G714" s="30"/>
      <c r="H714" s="30"/>
      <c r="I714" s="30"/>
      <c r="J714" s="30"/>
    </row>
    <row r="715" spans="1:10" ht="13.8">
      <c r="A715" s="30"/>
      <c r="B715" s="30"/>
      <c r="C715" s="10"/>
      <c r="D715" s="30"/>
      <c r="E715" s="30"/>
      <c r="F715" s="30"/>
      <c r="G715" s="30"/>
      <c r="H715" s="30"/>
      <c r="I715" s="30"/>
      <c r="J715" s="30"/>
    </row>
    <row r="716" spans="1:10" ht="13.8">
      <c r="A716" s="30"/>
      <c r="B716" s="30"/>
      <c r="C716" s="10"/>
      <c r="D716" s="30"/>
      <c r="E716" s="30"/>
      <c r="F716" s="30"/>
      <c r="G716" s="30"/>
      <c r="H716" s="30"/>
      <c r="I716" s="30"/>
      <c r="J716" s="30"/>
    </row>
    <row r="717" spans="1:10" ht="13.8">
      <c r="A717" s="30"/>
      <c r="B717" s="30"/>
      <c r="C717" s="10"/>
      <c r="D717" s="30"/>
      <c r="E717" s="30"/>
      <c r="F717" s="30"/>
      <c r="G717" s="30"/>
      <c r="H717" s="30"/>
      <c r="I717" s="30"/>
      <c r="J717" s="30"/>
    </row>
    <row r="718" spans="1:10" ht="13.8">
      <c r="A718" s="30"/>
      <c r="B718" s="30"/>
      <c r="C718" s="10"/>
      <c r="D718" s="30"/>
      <c r="E718" s="30"/>
      <c r="F718" s="30"/>
      <c r="G718" s="30"/>
      <c r="H718" s="30"/>
      <c r="I718" s="30"/>
      <c r="J718" s="30"/>
    </row>
    <row r="719" spans="1:10" ht="13.8">
      <c r="A719" s="30"/>
      <c r="B719" s="30"/>
      <c r="C719" s="10"/>
      <c r="D719" s="30"/>
      <c r="E719" s="30"/>
      <c r="F719" s="30"/>
      <c r="G719" s="30"/>
      <c r="H719" s="30"/>
      <c r="I719" s="30"/>
      <c r="J719" s="30"/>
    </row>
    <row r="720" spans="1:10" ht="13.8">
      <c r="A720" s="30"/>
      <c r="B720" s="30"/>
      <c r="C720" s="10"/>
      <c r="D720" s="30"/>
      <c r="E720" s="30"/>
      <c r="F720" s="30"/>
      <c r="G720" s="30"/>
      <c r="H720" s="30"/>
      <c r="I720" s="30"/>
      <c r="J720" s="30"/>
    </row>
    <row r="721" spans="1:10" ht="13.8">
      <c r="A721" s="30"/>
      <c r="B721" s="30"/>
      <c r="C721" s="10"/>
      <c r="D721" s="30"/>
      <c r="E721" s="30"/>
      <c r="F721" s="30"/>
      <c r="G721" s="30"/>
      <c r="H721" s="30"/>
      <c r="I721" s="30"/>
      <c r="J721" s="30"/>
    </row>
    <row r="722" spans="1:10" ht="13.8">
      <c r="A722" s="30"/>
      <c r="B722" s="30"/>
      <c r="C722" s="10"/>
      <c r="D722" s="30"/>
      <c r="E722" s="30"/>
      <c r="F722" s="30"/>
      <c r="G722" s="30"/>
      <c r="H722" s="30"/>
      <c r="I722" s="30"/>
      <c r="J722" s="30"/>
    </row>
    <row r="723" spans="1:10" ht="13.8">
      <c r="A723" s="30"/>
      <c r="B723" s="30"/>
      <c r="C723" s="10"/>
      <c r="D723" s="30"/>
      <c r="E723" s="30"/>
      <c r="F723" s="30"/>
      <c r="G723" s="30"/>
      <c r="H723" s="30"/>
      <c r="I723" s="30"/>
      <c r="J723" s="30"/>
    </row>
    <row r="724" spans="1:10" ht="13.8">
      <c r="A724" s="30"/>
      <c r="B724" s="30"/>
      <c r="C724" s="10"/>
      <c r="D724" s="30"/>
      <c r="E724" s="30"/>
      <c r="F724" s="30"/>
      <c r="G724" s="30"/>
      <c r="H724" s="30"/>
      <c r="I724" s="30"/>
      <c r="J724" s="30"/>
    </row>
    <row r="725" spans="1:10" ht="13.8">
      <c r="A725" s="30"/>
      <c r="B725" s="30"/>
      <c r="C725" s="10"/>
      <c r="D725" s="30"/>
      <c r="E725" s="30"/>
      <c r="F725" s="30"/>
      <c r="G725" s="30"/>
      <c r="H725" s="30"/>
      <c r="I725" s="30"/>
      <c r="J725" s="30"/>
    </row>
    <row r="726" spans="1:10" ht="13.8">
      <c r="A726" s="30"/>
      <c r="B726" s="30"/>
      <c r="C726" s="10"/>
      <c r="D726" s="30"/>
      <c r="E726" s="30"/>
      <c r="F726" s="30"/>
      <c r="G726" s="30"/>
      <c r="H726" s="30"/>
      <c r="I726" s="30"/>
      <c r="J726" s="30"/>
    </row>
    <row r="727" spans="1:10" ht="13.8">
      <c r="A727" s="30"/>
      <c r="B727" s="30"/>
      <c r="C727" s="10"/>
      <c r="D727" s="30"/>
      <c r="E727" s="30"/>
      <c r="F727" s="30"/>
      <c r="G727" s="30"/>
      <c r="H727" s="30"/>
      <c r="I727" s="30"/>
      <c r="J727" s="30"/>
    </row>
    <row r="728" spans="1:10" ht="13.8">
      <c r="A728" s="30"/>
      <c r="B728" s="30"/>
      <c r="C728" s="10"/>
      <c r="D728" s="30"/>
      <c r="E728" s="30"/>
      <c r="F728" s="30"/>
      <c r="G728" s="30"/>
      <c r="H728" s="30"/>
      <c r="I728" s="30"/>
      <c r="J728" s="30"/>
    </row>
    <row r="729" spans="1:10" ht="13.8">
      <c r="A729" s="30"/>
      <c r="B729" s="30"/>
      <c r="C729" s="10"/>
      <c r="D729" s="30"/>
      <c r="E729" s="30"/>
      <c r="F729" s="30"/>
      <c r="G729" s="30"/>
      <c r="H729" s="30"/>
      <c r="I729" s="30"/>
      <c r="J729" s="30"/>
    </row>
    <row r="730" spans="1:10" ht="13.8">
      <c r="A730" s="30"/>
      <c r="B730" s="30"/>
      <c r="C730" s="10"/>
      <c r="D730" s="30"/>
      <c r="E730" s="30"/>
      <c r="F730" s="30"/>
      <c r="G730" s="30"/>
      <c r="H730" s="30"/>
      <c r="I730" s="30"/>
      <c r="J730" s="30"/>
    </row>
    <row r="731" spans="1:10" ht="13.8">
      <c r="A731" s="30"/>
      <c r="B731" s="30"/>
      <c r="C731" s="10"/>
      <c r="D731" s="30"/>
      <c r="E731" s="30"/>
      <c r="F731" s="30"/>
      <c r="G731" s="30"/>
      <c r="H731" s="30"/>
      <c r="I731" s="30"/>
      <c r="J731" s="30"/>
    </row>
    <row r="732" spans="1:10" ht="13.8">
      <c r="A732" s="30"/>
      <c r="B732" s="30"/>
      <c r="C732" s="10"/>
      <c r="D732" s="30"/>
      <c r="E732" s="30"/>
      <c r="F732" s="30"/>
      <c r="G732" s="30"/>
      <c r="H732" s="30"/>
      <c r="I732" s="30"/>
      <c r="J732" s="30"/>
    </row>
    <row r="733" spans="1:10" ht="13.8">
      <c r="A733" s="30"/>
      <c r="B733" s="30"/>
      <c r="C733" s="10"/>
      <c r="D733" s="30"/>
      <c r="E733" s="30"/>
      <c r="F733" s="30"/>
      <c r="G733" s="30"/>
      <c r="H733" s="30"/>
      <c r="I733" s="30"/>
      <c r="J733" s="30"/>
    </row>
    <row r="734" spans="1:10" ht="13.8">
      <c r="A734" s="30"/>
      <c r="B734" s="30"/>
      <c r="C734" s="10"/>
      <c r="D734" s="30"/>
      <c r="E734" s="30"/>
      <c r="F734" s="30"/>
      <c r="G734" s="30"/>
      <c r="H734" s="30"/>
      <c r="I734" s="30"/>
      <c r="J734" s="30"/>
    </row>
    <row r="735" spans="1:10" ht="13.8">
      <c r="A735" s="30"/>
      <c r="B735" s="30"/>
      <c r="C735" s="10"/>
      <c r="D735" s="30"/>
      <c r="E735" s="30"/>
      <c r="F735" s="30"/>
      <c r="G735" s="30"/>
      <c r="H735" s="30"/>
      <c r="I735" s="30"/>
      <c r="J735" s="30"/>
    </row>
    <row r="736" spans="1:10" ht="13.8">
      <c r="A736" s="30"/>
      <c r="B736" s="30"/>
      <c r="C736" s="10"/>
      <c r="D736" s="30"/>
      <c r="E736" s="30"/>
      <c r="F736" s="30"/>
      <c r="G736" s="30"/>
      <c r="H736" s="30"/>
      <c r="I736" s="30"/>
      <c r="J736" s="30"/>
    </row>
    <row r="737" spans="1:10" ht="13.8">
      <c r="A737" s="30"/>
      <c r="B737" s="30"/>
      <c r="C737" s="10"/>
      <c r="D737" s="30"/>
      <c r="E737" s="30"/>
      <c r="F737" s="30"/>
      <c r="G737" s="30"/>
      <c r="H737" s="30"/>
      <c r="I737" s="30"/>
      <c r="J737" s="30"/>
    </row>
    <row r="738" spans="1:10" ht="13.8">
      <c r="A738" s="30"/>
      <c r="B738" s="30"/>
      <c r="C738" s="10"/>
      <c r="D738" s="30"/>
      <c r="E738" s="30"/>
      <c r="F738" s="30"/>
      <c r="G738" s="30"/>
      <c r="H738" s="30"/>
      <c r="I738" s="30"/>
      <c r="J738" s="30"/>
    </row>
    <row r="739" spans="1:10" ht="13.8">
      <c r="A739" s="30"/>
      <c r="B739" s="30"/>
      <c r="C739" s="10"/>
      <c r="D739" s="30"/>
      <c r="E739" s="30"/>
      <c r="F739" s="30"/>
      <c r="G739" s="30"/>
      <c r="H739" s="30"/>
      <c r="I739" s="30"/>
      <c r="J739" s="30"/>
    </row>
    <row r="740" spans="1:10" ht="13.8">
      <c r="A740" s="30"/>
      <c r="B740" s="30"/>
      <c r="C740" s="10"/>
      <c r="D740" s="30"/>
      <c r="E740" s="30"/>
      <c r="F740" s="30"/>
      <c r="G740" s="30"/>
      <c r="H740" s="30"/>
      <c r="I740" s="30"/>
      <c r="J740" s="30"/>
    </row>
    <row r="741" spans="1:10" ht="13.8">
      <c r="A741" s="30"/>
      <c r="B741" s="30"/>
      <c r="C741" s="10"/>
      <c r="D741" s="30"/>
      <c r="E741" s="30"/>
      <c r="F741" s="30"/>
      <c r="G741" s="30"/>
      <c r="H741" s="30"/>
      <c r="I741" s="30"/>
      <c r="J741" s="30"/>
    </row>
    <row r="742" spans="1:10" ht="13.8">
      <c r="A742" s="30"/>
      <c r="B742" s="30"/>
      <c r="C742" s="10"/>
      <c r="D742" s="30"/>
      <c r="E742" s="30"/>
      <c r="F742" s="30"/>
      <c r="G742" s="30"/>
      <c r="H742" s="30"/>
      <c r="I742" s="30"/>
      <c r="J742" s="30"/>
    </row>
    <row r="743" spans="1:10" ht="13.8">
      <c r="A743" s="30"/>
      <c r="B743" s="30"/>
      <c r="C743" s="10"/>
      <c r="D743" s="30"/>
      <c r="E743" s="30"/>
      <c r="F743" s="30"/>
      <c r="G743" s="30"/>
      <c r="H743" s="30"/>
      <c r="I743" s="30"/>
      <c r="J743" s="30"/>
    </row>
    <row r="744" spans="1:10" ht="13.8">
      <c r="A744" s="30"/>
      <c r="B744" s="30"/>
      <c r="C744" s="10"/>
      <c r="D744" s="30"/>
      <c r="E744" s="30"/>
      <c r="F744" s="30"/>
      <c r="G744" s="30"/>
      <c r="H744" s="30"/>
      <c r="I744" s="30"/>
      <c r="J744" s="30"/>
    </row>
    <row r="745" spans="1:10" ht="13.8">
      <c r="A745" s="30"/>
      <c r="B745" s="30"/>
      <c r="C745" s="10"/>
      <c r="D745" s="30"/>
      <c r="E745" s="30"/>
      <c r="F745" s="30"/>
      <c r="G745" s="30"/>
      <c r="H745" s="30"/>
      <c r="I745" s="30"/>
      <c r="J745" s="30"/>
    </row>
    <row r="746" spans="1:10" ht="13.8">
      <c r="A746" s="30"/>
      <c r="B746" s="30"/>
      <c r="C746" s="10"/>
      <c r="D746" s="30"/>
      <c r="E746" s="30"/>
      <c r="F746" s="30"/>
      <c r="G746" s="30"/>
      <c r="H746" s="30"/>
      <c r="I746" s="30"/>
      <c r="J746" s="30"/>
    </row>
    <row r="747" spans="1:10" ht="13.8">
      <c r="A747" s="30"/>
      <c r="B747" s="30"/>
      <c r="C747" s="10"/>
      <c r="D747" s="30"/>
      <c r="E747" s="30"/>
      <c r="F747" s="30"/>
      <c r="G747" s="30"/>
      <c r="H747" s="30"/>
      <c r="I747" s="30"/>
      <c r="J747" s="30"/>
    </row>
    <row r="748" spans="1:10" ht="13.8">
      <c r="A748" s="30"/>
      <c r="B748" s="30"/>
      <c r="C748" s="10"/>
      <c r="D748" s="30"/>
      <c r="E748" s="30"/>
      <c r="F748" s="30"/>
      <c r="G748" s="30"/>
      <c r="H748" s="30"/>
      <c r="I748" s="30"/>
      <c r="J748" s="30"/>
    </row>
    <row r="749" spans="1:10" ht="13.8">
      <c r="A749" s="30"/>
      <c r="B749" s="30"/>
      <c r="C749" s="10"/>
      <c r="D749" s="30"/>
      <c r="E749" s="30"/>
      <c r="F749" s="30"/>
      <c r="G749" s="30"/>
      <c r="H749" s="30"/>
      <c r="I749" s="30"/>
      <c r="J749" s="30"/>
    </row>
    <row r="750" spans="1:10" ht="13.8">
      <c r="A750" s="30"/>
      <c r="B750" s="30"/>
      <c r="C750" s="10"/>
      <c r="D750" s="30"/>
      <c r="E750" s="30"/>
      <c r="F750" s="30"/>
      <c r="G750" s="30"/>
      <c r="H750" s="30"/>
      <c r="I750" s="30"/>
      <c r="J750" s="30"/>
    </row>
    <row r="751" spans="1:10" ht="13.8">
      <c r="A751" s="30"/>
      <c r="B751" s="30"/>
      <c r="C751" s="10"/>
      <c r="D751" s="30"/>
      <c r="E751" s="30"/>
      <c r="F751" s="30"/>
      <c r="G751" s="30"/>
      <c r="H751" s="30"/>
      <c r="I751" s="30"/>
      <c r="J751" s="30"/>
    </row>
    <row r="752" spans="1:10" ht="13.8">
      <c r="A752" s="30"/>
      <c r="B752" s="30"/>
      <c r="C752" s="10"/>
      <c r="D752" s="30"/>
      <c r="E752" s="30"/>
      <c r="F752" s="30"/>
      <c r="G752" s="30"/>
      <c r="H752" s="30"/>
      <c r="I752" s="30"/>
      <c r="J752" s="30"/>
    </row>
    <row r="753" spans="1:10" ht="13.8">
      <c r="A753" s="30"/>
      <c r="B753" s="30"/>
      <c r="C753" s="10"/>
      <c r="D753" s="30"/>
      <c r="E753" s="30"/>
      <c r="F753" s="30"/>
      <c r="G753" s="30"/>
      <c r="H753" s="30"/>
      <c r="I753" s="30"/>
      <c r="J753" s="30"/>
    </row>
    <row r="754" spans="1:10" ht="13.8">
      <c r="A754" s="30"/>
      <c r="B754" s="30"/>
      <c r="C754" s="10"/>
      <c r="D754" s="30"/>
      <c r="E754" s="30"/>
      <c r="F754" s="30"/>
      <c r="G754" s="30"/>
      <c r="H754" s="30"/>
      <c r="I754" s="30"/>
      <c r="J754" s="30"/>
    </row>
    <row r="755" spans="1:10" ht="13.8">
      <c r="A755" s="30"/>
      <c r="B755" s="30"/>
      <c r="C755" s="10"/>
      <c r="D755" s="30"/>
      <c r="E755" s="30"/>
      <c r="F755" s="30"/>
      <c r="G755" s="30"/>
      <c r="H755" s="30"/>
      <c r="I755" s="30"/>
      <c r="J755" s="30"/>
    </row>
    <row r="756" spans="1:10" ht="13.8">
      <c r="A756" s="30"/>
      <c r="B756" s="30"/>
      <c r="C756" s="10"/>
      <c r="D756" s="30"/>
      <c r="E756" s="30"/>
      <c r="F756" s="30"/>
      <c r="G756" s="30"/>
      <c r="H756" s="30"/>
      <c r="I756" s="30"/>
      <c r="J756" s="30"/>
    </row>
    <row r="757" spans="1:10" ht="13.8">
      <c r="A757" s="30"/>
      <c r="B757" s="30"/>
      <c r="C757" s="10"/>
      <c r="D757" s="30"/>
      <c r="E757" s="30"/>
      <c r="F757" s="30"/>
      <c r="G757" s="30"/>
      <c r="H757" s="30"/>
      <c r="I757" s="30"/>
      <c r="J757" s="30"/>
    </row>
    <row r="758" spans="1:10" ht="13.8">
      <c r="A758" s="30"/>
      <c r="B758" s="30"/>
      <c r="C758" s="10"/>
      <c r="D758" s="30"/>
      <c r="E758" s="30"/>
      <c r="F758" s="30"/>
      <c r="G758" s="30"/>
      <c r="H758" s="30"/>
      <c r="I758" s="30"/>
      <c r="J758" s="30"/>
    </row>
    <row r="759" spans="1:10" ht="13.8">
      <c r="A759" s="30"/>
      <c r="B759" s="30"/>
      <c r="C759" s="10"/>
      <c r="D759" s="30"/>
      <c r="E759" s="30"/>
      <c r="F759" s="30"/>
      <c r="G759" s="30"/>
      <c r="H759" s="30"/>
      <c r="I759" s="30"/>
      <c r="J759" s="30"/>
    </row>
    <row r="760" spans="1:10" ht="13.8">
      <c r="A760" s="30"/>
      <c r="B760" s="30"/>
      <c r="C760" s="10"/>
      <c r="D760" s="30"/>
      <c r="E760" s="30"/>
      <c r="F760" s="30"/>
      <c r="G760" s="30"/>
      <c r="H760" s="30"/>
      <c r="I760" s="30"/>
      <c r="J760" s="30"/>
    </row>
    <row r="761" spans="1:10" ht="13.8">
      <c r="A761" s="30"/>
      <c r="B761" s="30"/>
      <c r="C761" s="10"/>
      <c r="D761" s="30"/>
      <c r="E761" s="30"/>
      <c r="F761" s="30"/>
      <c r="G761" s="30"/>
      <c r="H761" s="30"/>
      <c r="I761" s="30"/>
      <c r="J761" s="30"/>
    </row>
    <row r="762" spans="1:10" ht="13.8">
      <c r="A762" s="30"/>
      <c r="B762" s="30"/>
      <c r="C762" s="10"/>
      <c r="D762" s="30"/>
      <c r="E762" s="30"/>
      <c r="F762" s="30"/>
      <c r="G762" s="30"/>
      <c r="H762" s="30"/>
      <c r="I762" s="30"/>
      <c r="J762" s="30"/>
    </row>
    <row r="763" spans="1:10" ht="13.8">
      <c r="A763" s="30"/>
      <c r="B763" s="30"/>
      <c r="C763" s="10"/>
      <c r="D763" s="30"/>
      <c r="E763" s="30"/>
      <c r="F763" s="30"/>
      <c r="G763" s="30"/>
      <c r="H763" s="30"/>
      <c r="I763" s="30"/>
      <c r="J763" s="30"/>
    </row>
    <row r="764" spans="1:10" ht="13.8">
      <c r="A764" s="30"/>
      <c r="B764" s="30"/>
      <c r="C764" s="10"/>
      <c r="D764" s="30"/>
      <c r="E764" s="30"/>
      <c r="F764" s="30"/>
      <c r="G764" s="30"/>
      <c r="H764" s="30"/>
      <c r="I764" s="30"/>
      <c r="J764" s="30"/>
    </row>
    <row r="765" spans="1:10" ht="13.8">
      <c r="A765" s="30"/>
      <c r="B765" s="30"/>
      <c r="C765" s="10"/>
      <c r="D765" s="30"/>
      <c r="E765" s="30"/>
      <c r="F765" s="30"/>
      <c r="G765" s="30"/>
      <c r="H765" s="30"/>
      <c r="I765" s="30"/>
      <c r="J765" s="30"/>
    </row>
    <row r="766" spans="1:10" ht="13.8">
      <c r="A766" s="30"/>
      <c r="B766" s="30"/>
      <c r="C766" s="10"/>
      <c r="D766" s="30"/>
      <c r="E766" s="30"/>
      <c r="F766" s="30"/>
      <c r="G766" s="30"/>
      <c r="H766" s="30"/>
      <c r="I766" s="30"/>
      <c r="J766" s="30"/>
    </row>
    <row r="767" spans="1:10" ht="13.8">
      <c r="A767" s="30"/>
      <c r="B767" s="30"/>
      <c r="C767" s="10"/>
      <c r="D767" s="30"/>
      <c r="E767" s="30"/>
      <c r="F767" s="30"/>
      <c r="G767" s="30"/>
      <c r="H767" s="30"/>
      <c r="I767" s="30"/>
      <c r="J767" s="30"/>
    </row>
    <row r="768" spans="1:10" ht="13.8">
      <c r="A768" s="30"/>
      <c r="B768" s="30"/>
      <c r="C768" s="10"/>
      <c r="D768" s="30"/>
      <c r="E768" s="30"/>
      <c r="F768" s="30"/>
      <c r="G768" s="30"/>
      <c r="H768" s="30"/>
      <c r="I768" s="30"/>
      <c r="J768" s="30"/>
    </row>
    <row r="769" spans="1:10" ht="13.8">
      <c r="A769" s="30"/>
      <c r="B769" s="30"/>
      <c r="C769" s="10"/>
      <c r="D769" s="30"/>
      <c r="E769" s="30"/>
      <c r="F769" s="30"/>
      <c r="G769" s="30"/>
      <c r="H769" s="30"/>
      <c r="I769" s="30"/>
      <c r="J769" s="30"/>
    </row>
    <row r="770" spans="1:10" ht="13.8">
      <c r="A770" s="30"/>
      <c r="B770" s="30"/>
      <c r="C770" s="10"/>
      <c r="D770" s="30"/>
      <c r="E770" s="30"/>
      <c r="F770" s="30"/>
      <c r="G770" s="30"/>
      <c r="H770" s="30"/>
      <c r="I770" s="30"/>
      <c r="J770" s="30"/>
    </row>
    <row r="771" spans="1:10" ht="13.8">
      <c r="A771" s="30"/>
      <c r="B771" s="30"/>
      <c r="C771" s="10"/>
      <c r="D771" s="30"/>
      <c r="E771" s="30"/>
      <c r="F771" s="30"/>
      <c r="G771" s="30"/>
      <c r="H771" s="30"/>
      <c r="I771" s="30"/>
      <c r="J771" s="30"/>
    </row>
    <row r="772" spans="1:10" ht="13.8">
      <c r="A772" s="30"/>
      <c r="B772" s="30"/>
      <c r="C772" s="10"/>
      <c r="D772" s="30"/>
      <c r="E772" s="30"/>
      <c r="F772" s="30"/>
      <c r="G772" s="30"/>
      <c r="H772" s="30"/>
      <c r="I772" s="30"/>
      <c r="J772" s="30"/>
    </row>
    <row r="773" spans="1:10" ht="13.8">
      <c r="A773" s="30"/>
      <c r="B773" s="30"/>
      <c r="C773" s="10"/>
      <c r="D773" s="30"/>
      <c r="E773" s="30"/>
      <c r="F773" s="30"/>
      <c r="G773" s="30"/>
      <c r="H773" s="30"/>
      <c r="I773" s="30"/>
      <c r="J773" s="30"/>
    </row>
    <row r="774" spans="1:10" ht="13.8">
      <c r="A774" s="30"/>
      <c r="B774" s="30"/>
      <c r="C774" s="10"/>
      <c r="D774" s="30"/>
      <c r="E774" s="30"/>
      <c r="F774" s="30"/>
      <c r="G774" s="30"/>
      <c r="H774" s="30"/>
      <c r="I774" s="30"/>
      <c r="J774" s="30"/>
    </row>
    <row r="775" spans="1:10" ht="13.8">
      <c r="A775" s="30"/>
      <c r="B775" s="30"/>
      <c r="C775" s="10"/>
      <c r="D775" s="30"/>
      <c r="E775" s="30"/>
      <c r="F775" s="30"/>
      <c r="G775" s="30"/>
      <c r="H775" s="30"/>
      <c r="I775" s="30"/>
      <c r="J775" s="30"/>
    </row>
    <row r="776" spans="1:10" ht="13.8">
      <c r="A776" s="30"/>
      <c r="B776" s="30"/>
      <c r="C776" s="10"/>
      <c r="D776" s="30"/>
      <c r="E776" s="30"/>
      <c r="F776" s="30"/>
      <c r="G776" s="30"/>
      <c r="H776" s="30"/>
      <c r="I776" s="30"/>
      <c r="J776" s="30"/>
    </row>
    <row r="777" spans="1:10" ht="13.8">
      <c r="A777" s="30"/>
      <c r="B777" s="30"/>
      <c r="C777" s="10"/>
      <c r="D777" s="30"/>
      <c r="E777" s="30"/>
      <c r="F777" s="30"/>
      <c r="G777" s="30"/>
      <c r="H777" s="30"/>
      <c r="I777" s="30"/>
      <c r="J777" s="30"/>
    </row>
    <row r="778" spans="1:10" ht="13.8">
      <c r="A778" s="30"/>
      <c r="B778" s="30"/>
      <c r="C778" s="10"/>
      <c r="D778" s="30"/>
      <c r="E778" s="30"/>
      <c r="F778" s="30"/>
      <c r="G778" s="30"/>
      <c r="H778" s="30"/>
      <c r="I778" s="30"/>
      <c r="J778" s="30"/>
    </row>
    <row r="779" spans="1:10" ht="13.8">
      <c r="A779" s="30"/>
      <c r="B779" s="30"/>
      <c r="C779" s="10"/>
      <c r="D779" s="30"/>
      <c r="E779" s="30"/>
      <c r="F779" s="30"/>
      <c r="G779" s="30"/>
      <c r="H779" s="30"/>
      <c r="I779" s="30"/>
      <c r="J779" s="30"/>
    </row>
    <row r="780" spans="1:10" ht="13.8">
      <c r="A780" s="30"/>
      <c r="B780" s="30"/>
      <c r="C780" s="10"/>
      <c r="D780" s="30"/>
      <c r="E780" s="30"/>
      <c r="F780" s="30"/>
      <c r="G780" s="30"/>
      <c r="H780" s="30"/>
      <c r="I780" s="30"/>
      <c r="J780" s="30"/>
    </row>
    <row r="781" spans="1:10" ht="13.8">
      <c r="A781" s="30"/>
      <c r="B781" s="30"/>
      <c r="C781" s="10"/>
      <c r="D781" s="30"/>
      <c r="E781" s="30"/>
      <c r="F781" s="30"/>
      <c r="G781" s="30"/>
      <c r="H781" s="30"/>
      <c r="I781" s="30"/>
      <c r="J781" s="30"/>
    </row>
    <row r="782" spans="1:10" ht="13.8">
      <c r="A782" s="30"/>
      <c r="B782" s="30"/>
      <c r="C782" s="10"/>
      <c r="D782" s="30"/>
      <c r="E782" s="30"/>
      <c r="F782" s="30"/>
      <c r="G782" s="30"/>
      <c r="H782" s="30"/>
      <c r="I782" s="30"/>
      <c r="J782" s="30"/>
    </row>
    <row r="783" spans="1:10" ht="13.8">
      <c r="A783" s="30"/>
      <c r="B783" s="30"/>
      <c r="C783" s="10"/>
      <c r="D783" s="30"/>
      <c r="E783" s="30"/>
      <c r="F783" s="30"/>
      <c r="G783" s="30"/>
      <c r="H783" s="30"/>
      <c r="I783" s="30"/>
      <c r="J783" s="30"/>
    </row>
    <row r="784" spans="1:10" ht="13.8">
      <c r="A784" s="30"/>
      <c r="B784" s="30"/>
      <c r="C784" s="10"/>
      <c r="D784" s="30"/>
      <c r="E784" s="30"/>
      <c r="F784" s="30"/>
      <c r="G784" s="30"/>
      <c r="H784" s="30"/>
      <c r="I784" s="30"/>
      <c r="J784" s="30"/>
    </row>
    <row r="785" spans="1:10" ht="13.8">
      <c r="A785" s="30"/>
      <c r="B785" s="30"/>
      <c r="C785" s="10"/>
      <c r="D785" s="30"/>
      <c r="E785" s="30"/>
      <c r="F785" s="30"/>
      <c r="G785" s="30"/>
      <c r="H785" s="30"/>
      <c r="I785" s="30"/>
      <c r="J785" s="30"/>
    </row>
    <row r="786" spans="1:10" ht="13.8">
      <c r="A786" s="30"/>
      <c r="B786" s="30"/>
      <c r="C786" s="10"/>
      <c r="D786" s="30"/>
      <c r="E786" s="30"/>
      <c r="F786" s="30"/>
      <c r="G786" s="30"/>
      <c r="H786" s="30"/>
      <c r="I786" s="30"/>
      <c r="J786" s="30"/>
    </row>
    <row r="787" spans="1:10" ht="13.8">
      <c r="A787" s="30"/>
      <c r="B787" s="30"/>
      <c r="C787" s="10"/>
      <c r="D787" s="30"/>
      <c r="E787" s="30"/>
      <c r="F787" s="30"/>
      <c r="G787" s="30"/>
      <c r="H787" s="30"/>
      <c r="I787" s="30"/>
      <c r="J787" s="30"/>
    </row>
    <row r="788" spans="1:10" ht="13.8">
      <c r="A788" s="30"/>
      <c r="B788" s="30"/>
      <c r="C788" s="10"/>
      <c r="D788" s="30"/>
      <c r="E788" s="30"/>
      <c r="F788" s="30"/>
      <c r="G788" s="30"/>
      <c r="H788" s="30"/>
      <c r="I788" s="30"/>
      <c r="J788" s="30"/>
    </row>
    <row r="789" spans="1:10" ht="13.8">
      <c r="A789" s="30"/>
      <c r="B789" s="30"/>
      <c r="C789" s="10"/>
      <c r="D789" s="30"/>
      <c r="E789" s="30"/>
      <c r="F789" s="30"/>
      <c r="G789" s="30"/>
      <c r="H789" s="30"/>
      <c r="I789" s="30"/>
      <c r="J789" s="30"/>
    </row>
    <row r="790" spans="1:10" ht="13.8">
      <c r="A790" s="30"/>
      <c r="B790" s="30"/>
      <c r="C790" s="10"/>
      <c r="D790" s="30"/>
      <c r="E790" s="30"/>
      <c r="F790" s="30"/>
      <c r="G790" s="30"/>
      <c r="H790" s="30"/>
      <c r="I790" s="30"/>
      <c r="J790" s="30"/>
    </row>
    <row r="791" spans="1:10" ht="13.8">
      <c r="A791" s="30"/>
      <c r="B791" s="30"/>
      <c r="C791" s="10"/>
      <c r="D791" s="30"/>
      <c r="E791" s="30"/>
      <c r="F791" s="30"/>
      <c r="G791" s="30"/>
      <c r="H791" s="30"/>
      <c r="I791" s="30"/>
      <c r="J791" s="30"/>
    </row>
    <row r="792" spans="1:10" ht="13.8">
      <c r="A792" s="30"/>
      <c r="B792" s="30"/>
      <c r="C792" s="10"/>
      <c r="D792" s="30"/>
      <c r="E792" s="30"/>
      <c r="F792" s="30"/>
      <c r="G792" s="30"/>
      <c r="H792" s="30"/>
      <c r="I792" s="30"/>
      <c r="J792" s="30"/>
    </row>
    <row r="793" spans="1:10" ht="13.8">
      <c r="A793" s="30"/>
      <c r="B793" s="30"/>
      <c r="C793" s="10"/>
      <c r="D793" s="30"/>
      <c r="E793" s="30"/>
      <c r="F793" s="30"/>
      <c r="G793" s="30"/>
      <c r="H793" s="30"/>
      <c r="I793" s="30"/>
      <c r="J793" s="30"/>
    </row>
    <row r="794" spans="1:10" ht="13.8">
      <c r="A794" s="30"/>
      <c r="B794" s="30"/>
      <c r="C794" s="10"/>
      <c r="D794" s="30"/>
      <c r="E794" s="30"/>
      <c r="F794" s="30"/>
      <c r="G794" s="30"/>
      <c r="H794" s="30"/>
      <c r="I794" s="30"/>
      <c r="J794" s="30"/>
    </row>
    <row r="795" spans="1:10" ht="13.8">
      <c r="A795" s="30"/>
      <c r="B795" s="30"/>
      <c r="C795" s="10"/>
      <c r="D795" s="30"/>
      <c r="E795" s="30"/>
      <c r="F795" s="30"/>
      <c r="G795" s="30"/>
      <c r="H795" s="30"/>
      <c r="I795" s="30"/>
      <c r="J795" s="30"/>
    </row>
    <row r="796" spans="1:10" ht="13.8">
      <c r="A796" s="30"/>
      <c r="B796" s="30"/>
      <c r="C796" s="10"/>
      <c r="D796" s="30"/>
      <c r="E796" s="30"/>
      <c r="F796" s="30"/>
      <c r="G796" s="30"/>
      <c r="H796" s="30"/>
      <c r="I796" s="30"/>
      <c r="J796" s="30"/>
    </row>
    <row r="797" spans="1:10" ht="13.8">
      <c r="A797" s="30"/>
      <c r="B797" s="30"/>
      <c r="C797" s="10"/>
      <c r="D797" s="30"/>
      <c r="E797" s="30"/>
      <c r="F797" s="30"/>
      <c r="G797" s="30"/>
      <c r="H797" s="30"/>
      <c r="I797" s="30"/>
      <c r="J797" s="30"/>
    </row>
    <row r="798" spans="1:10" ht="13.8">
      <c r="A798" s="30"/>
      <c r="B798" s="30"/>
      <c r="C798" s="10"/>
      <c r="D798" s="30"/>
      <c r="E798" s="30"/>
      <c r="F798" s="30"/>
      <c r="G798" s="30"/>
      <c r="H798" s="30"/>
      <c r="I798" s="30"/>
      <c r="J798" s="30"/>
    </row>
    <row r="799" spans="1:10" ht="13.8">
      <c r="A799" s="30"/>
      <c r="B799" s="30"/>
      <c r="C799" s="10"/>
      <c r="D799" s="30"/>
      <c r="E799" s="30"/>
      <c r="F799" s="30"/>
      <c r="G799" s="30"/>
      <c r="H799" s="30"/>
      <c r="I799" s="30"/>
      <c r="J799" s="30"/>
    </row>
    <row r="800" spans="1:10" ht="13.8">
      <c r="A800" s="30"/>
      <c r="B800" s="30"/>
      <c r="C800" s="10"/>
      <c r="D800" s="30"/>
      <c r="E800" s="30"/>
      <c r="F800" s="30"/>
      <c r="G800" s="30"/>
      <c r="H800" s="30"/>
      <c r="I800" s="30"/>
      <c r="J800" s="30"/>
    </row>
    <row r="801" spans="1:10" ht="13.8">
      <c r="A801" s="30"/>
      <c r="B801" s="30"/>
      <c r="C801" s="10"/>
      <c r="D801" s="30"/>
      <c r="E801" s="30"/>
      <c r="F801" s="30"/>
      <c r="G801" s="30"/>
      <c r="H801" s="30"/>
      <c r="I801" s="30"/>
      <c r="J801" s="30"/>
    </row>
    <row r="802" spans="1:10" ht="13.8">
      <c r="A802" s="30"/>
      <c r="B802" s="30"/>
      <c r="C802" s="10"/>
      <c r="D802" s="30"/>
      <c r="E802" s="30"/>
      <c r="F802" s="30"/>
      <c r="G802" s="30"/>
      <c r="H802" s="30"/>
      <c r="I802" s="30"/>
      <c r="J802" s="30"/>
    </row>
    <row r="803" spans="1:10" ht="13.8">
      <c r="A803" s="30"/>
      <c r="B803" s="30"/>
      <c r="C803" s="10"/>
      <c r="D803" s="30"/>
      <c r="E803" s="30"/>
      <c r="F803" s="30"/>
      <c r="G803" s="30"/>
      <c r="H803" s="30"/>
      <c r="I803" s="30"/>
      <c r="J803" s="30"/>
    </row>
    <row r="804" spans="1:10" ht="13.8">
      <c r="A804" s="30"/>
      <c r="B804" s="30"/>
      <c r="C804" s="10"/>
      <c r="D804" s="30"/>
      <c r="E804" s="30"/>
      <c r="F804" s="30"/>
      <c r="G804" s="30"/>
      <c r="H804" s="30"/>
      <c r="I804" s="30"/>
      <c r="J804" s="30"/>
    </row>
    <row r="805" spans="1:10" ht="13.8">
      <c r="A805" s="30"/>
      <c r="B805" s="30"/>
      <c r="C805" s="10"/>
      <c r="D805" s="30"/>
      <c r="E805" s="30"/>
      <c r="F805" s="30"/>
      <c r="G805" s="30"/>
      <c r="H805" s="30"/>
      <c r="I805" s="30"/>
      <c r="J805" s="30"/>
    </row>
    <row r="806" spans="1:10" ht="13.8">
      <c r="A806" s="30"/>
      <c r="B806" s="30"/>
      <c r="C806" s="10"/>
      <c r="D806" s="30"/>
      <c r="E806" s="30"/>
      <c r="F806" s="30"/>
      <c r="G806" s="30"/>
      <c r="H806" s="30"/>
      <c r="I806" s="30"/>
      <c r="J806" s="30"/>
    </row>
    <row r="807" spans="1:10" ht="13.8">
      <c r="A807" s="30"/>
      <c r="B807" s="30"/>
      <c r="C807" s="10"/>
      <c r="D807" s="30"/>
      <c r="E807" s="30"/>
      <c r="F807" s="30"/>
      <c r="G807" s="30"/>
      <c r="H807" s="30"/>
      <c r="I807" s="30"/>
      <c r="J807" s="30"/>
    </row>
    <row r="808" spans="1:10" ht="13.8">
      <c r="A808" s="30"/>
      <c r="B808" s="30"/>
      <c r="C808" s="10"/>
      <c r="D808" s="30"/>
      <c r="E808" s="30"/>
      <c r="F808" s="30"/>
      <c r="G808" s="30"/>
      <c r="H808" s="30"/>
      <c r="I808" s="30"/>
      <c r="J808" s="30"/>
    </row>
    <row r="809" spans="1:10" ht="13.8">
      <c r="A809" s="30"/>
      <c r="B809" s="30"/>
      <c r="C809" s="10"/>
      <c r="D809" s="30"/>
      <c r="E809" s="30"/>
      <c r="F809" s="30"/>
      <c r="G809" s="30"/>
      <c r="H809" s="30"/>
      <c r="I809" s="30"/>
      <c r="J809" s="30"/>
    </row>
    <row r="810" spans="1:10" ht="13.8">
      <c r="A810" s="30"/>
      <c r="B810" s="30"/>
      <c r="C810" s="10"/>
      <c r="D810" s="30"/>
      <c r="E810" s="30"/>
      <c r="F810" s="30"/>
      <c r="G810" s="30"/>
      <c r="H810" s="30"/>
      <c r="I810" s="30"/>
      <c r="J810" s="30"/>
    </row>
    <row r="811" spans="1:10" ht="13.8">
      <c r="A811" s="30"/>
      <c r="B811" s="30"/>
      <c r="C811" s="10"/>
      <c r="D811" s="30"/>
      <c r="E811" s="30"/>
      <c r="F811" s="30"/>
      <c r="G811" s="30"/>
      <c r="H811" s="30"/>
      <c r="I811" s="30"/>
      <c r="J811" s="30"/>
    </row>
    <row r="812" spans="1:10" ht="13.8">
      <c r="A812" s="30"/>
      <c r="B812" s="30"/>
      <c r="C812" s="10"/>
      <c r="D812" s="30"/>
      <c r="E812" s="30"/>
      <c r="F812" s="30"/>
      <c r="G812" s="30"/>
      <c r="H812" s="30"/>
      <c r="I812" s="30"/>
      <c r="J812" s="30"/>
    </row>
    <row r="813" spans="1:10" ht="13.8">
      <c r="A813" s="30"/>
      <c r="B813" s="30"/>
      <c r="C813" s="10"/>
      <c r="D813" s="30"/>
      <c r="E813" s="30"/>
      <c r="F813" s="30"/>
      <c r="G813" s="30"/>
      <c r="H813" s="30"/>
      <c r="I813" s="30"/>
      <c r="J813" s="30"/>
    </row>
    <row r="814" spans="1:10" ht="13.8">
      <c r="A814" s="30"/>
      <c r="B814" s="30"/>
      <c r="C814" s="10"/>
      <c r="D814" s="30"/>
      <c r="E814" s="30"/>
      <c r="F814" s="30"/>
      <c r="G814" s="30"/>
      <c r="H814" s="30"/>
      <c r="I814" s="30"/>
      <c r="J814" s="30"/>
    </row>
    <row r="815" spans="1:10" ht="13.8">
      <c r="A815" s="30"/>
      <c r="B815" s="30"/>
      <c r="C815" s="10"/>
      <c r="D815" s="30"/>
      <c r="E815" s="30"/>
      <c r="F815" s="30"/>
      <c r="G815" s="30"/>
      <c r="H815" s="30"/>
      <c r="I815" s="30"/>
      <c r="J815" s="30"/>
    </row>
    <row r="816" spans="1:10" ht="13.8">
      <c r="A816" s="30"/>
      <c r="B816" s="30"/>
      <c r="C816" s="10"/>
      <c r="D816" s="30"/>
      <c r="E816" s="30"/>
      <c r="F816" s="30"/>
      <c r="G816" s="30"/>
      <c r="H816" s="30"/>
      <c r="I816" s="30"/>
      <c r="J816" s="30"/>
    </row>
    <row r="817" spans="1:10" ht="13.8">
      <c r="A817" s="30"/>
      <c r="B817" s="30"/>
      <c r="C817" s="10"/>
      <c r="D817" s="30"/>
      <c r="E817" s="30"/>
      <c r="F817" s="30"/>
      <c r="G817" s="30"/>
      <c r="H817" s="30"/>
      <c r="I817" s="30"/>
      <c r="J817" s="30"/>
    </row>
    <row r="818" spans="1:10" ht="13.8">
      <c r="A818" s="30"/>
      <c r="B818" s="30"/>
      <c r="C818" s="10"/>
      <c r="D818" s="30"/>
      <c r="E818" s="30"/>
      <c r="F818" s="30"/>
      <c r="G818" s="30"/>
      <c r="H818" s="30"/>
      <c r="I818" s="30"/>
      <c r="J818" s="30"/>
    </row>
    <row r="819" spans="1:10" ht="13.8">
      <c r="A819" s="30"/>
      <c r="B819" s="30"/>
      <c r="C819" s="10"/>
      <c r="D819" s="30"/>
      <c r="E819" s="30"/>
      <c r="F819" s="30"/>
      <c r="G819" s="30"/>
      <c r="H819" s="30"/>
      <c r="I819" s="30"/>
      <c r="J819" s="30"/>
    </row>
    <row r="820" spans="1:10" ht="13.8">
      <c r="A820" s="30"/>
      <c r="B820" s="30"/>
      <c r="C820" s="10"/>
      <c r="D820" s="30"/>
      <c r="E820" s="30"/>
      <c r="F820" s="30"/>
      <c r="G820" s="30"/>
      <c r="H820" s="30"/>
      <c r="I820" s="30"/>
      <c r="J820" s="30"/>
    </row>
    <row r="821" spans="1:10" ht="13.8">
      <c r="A821" s="30"/>
      <c r="B821" s="30"/>
      <c r="C821" s="10"/>
      <c r="D821" s="30"/>
      <c r="E821" s="30"/>
      <c r="F821" s="30"/>
      <c r="G821" s="30"/>
      <c r="H821" s="30"/>
      <c r="I821" s="30"/>
      <c r="J821" s="30"/>
    </row>
    <row r="822" spans="1:10" ht="13.8">
      <c r="A822" s="30"/>
      <c r="B822" s="30"/>
      <c r="C822" s="10"/>
      <c r="D822" s="30"/>
      <c r="E822" s="30"/>
      <c r="F822" s="30"/>
      <c r="G822" s="30"/>
      <c r="H822" s="30"/>
      <c r="I822" s="30"/>
      <c r="J822" s="30"/>
    </row>
    <row r="823" spans="1:10" ht="13.8">
      <c r="A823" s="30"/>
      <c r="B823" s="30"/>
      <c r="C823" s="10"/>
      <c r="D823" s="30"/>
      <c r="E823" s="30"/>
      <c r="F823" s="30"/>
      <c r="G823" s="30"/>
      <c r="H823" s="30"/>
      <c r="I823" s="30"/>
      <c r="J823" s="30"/>
    </row>
    <row r="824" spans="1:10" ht="13.8">
      <c r="A824" s="30"/>
      <c r="B824" s="30"/>
      <c r="C824" s="10"/>
      <c r="D824" s="30"/>
      <c r="E824" s="30"/>
      <c r="F824" s="30"/>
      <c r="G824" s="30"/>
      <c r="H824" s="30"/>
      <c r="I824" s="30"/>
      <c r="J824" s="30"/>
    </row>
    <row r="825" spans="1:10" ht="13.8">
      <c r="A825" s="30"/>
      <c r="B825" s="30"/>
      <c r="C825" s="10"/>
      <c r="D825" s="30"/>
      <c r="E825" s="30"/>
      <c r="F825" s="30"/>
      <c r="G825" s="30"/>
      <c r="H825" s="30"/>
      <c r="I825" s="30"/>
      <c r="J825" s="30"/>
    </row>
    <row r="826" spans="1:10" ht="13.8">
      <c r="A826" s="30"/>
      <c r="B826" s="30"/>
      <c r="C826" s="10"/>
      <c r="D826" s="30"/>
      <c r="E826" s="30"/>
      <c r="F826" s="30"/>
      <c r="G826" s="30"/>
      <c r="H826" s="30"/>
      <c r="I826" s="30"/>
      <c r="J826" s="30"/>
    </row>
    <row r="827" spans="1:10" ht="13.8">
      <c r="A827" s="30"/>
      <c r="B827" s="30"/>
      <c r="C827" s="10"/>
      <c r="D827" s="30"/>
      <c r="E827" s="30"/>
      <c r="F827" s="30"/>
      <c r="G827" s="30"/>
      <c r="H827" s="30"/>
      <c r="I827" s="30"/>
      <c r="J827" s="30"/>
    </row>
    <row r="828" spans="1:10" ht="13.8">
      <c r="A828" s="30"/>
      <c r="B828" s="30"/>
      <c r="C828" s="10"/>
      <c r="D828" s="30"/>
      <c r="E828" s="30"/>
      <c r="F828" s="30"/>
      <c r="G828" s="30"/>
      <c r="H828" s="30"/>
      <c r="I828" s="30"/>
      <c r="J828" s="30"/>
    </row>
    <row r="829" spans="1:10" ht="13.8">
      <c r="A829" s="30"/>
      <c r="B829" s="30"/>
      <c r="C829" s="10"/>
      <c r="D829" s="30"/>
      <c r="E829" s="30"/>
      <c r="F829" s="30"/>
      <c r="G829" s="30"/>
      <c r="H829" s="30"/>
      <c r="I829" s="30"/>
      <c r="J829" s="30"/>
    </row>
    <row r="830" spans="1:10" ht="13.8">
      <c r="A830" s="30"/>
      <c r="B830" s="30"/>
      <c r="C830" s="10"/>
      <c r="D830" s="30"/>
      <c r="E830" s="30"/>
      <c r="F830" s="30"/>
      <c r="G830" s="30"/>
      <c r="H830" s="30"/>
      <c r="I830" s="30"/>
      <c r="J830" s="30"/>
    </row>
    <row r="831" spans="1:10" ht="13.8">
      <c r="A831" s="30"/>
      <c r="B831" s="30"/>
      <c r="C831" s="10"/>
      <c r="D831" s="30"/>
      <c r="E831" s="30"/>
      <c r="F831" s="30"/>
      <c r="G831" s="30"/>
      <c r="H831" s="30"/>
      <c r="I831" s="30"/>
      <c r="J831" s="30"/>
    </row>
    <row r="832" spans="1:10" ht="13.8">
      <c r="A832" s="30"/>
      <c r="B832" s="30"/>
      <c r="C832" s="10"/>
      <c r="D832" s="30"/>
      <c r="E832" s="30"/>
      <c r="F832" s="30"/>
      <c r="G832" s="30"/>
      <c r="H832" s="30"/>
      <c r="I832" s="30"/>
      <c r="J832" s="30"/>
    </row>
    <row r="833" spans="1:10" ht="13.8">
      <c r="A833" s="30"/>
      <c r="B833" s="30"/>
      <c r="C833" s="10"/>
      <c r="D833" s="30"/>
      <c r="E833" s="30"/>
      <c r="F833" s="30"/>
      <c r="G833" s="30"/>
      <c r="H833" s="30"/>
      <c r="I833" s="30"/>
      <c r="J833" s="30"/>
    </row>
    <row r="834" spans="1:10" ht="13.8">
      <c r="A834" s="30"/>
      <c r="B834" s="30"/>
      <c r="C834" s="10"/>
      <c r="D834" s="30"/>
      <c r="E834" s="30"/>
      <c r="F834" s="30"/>
      <c r="G834" s="30"/>
      <c r="H834" s="30"/>
      <c r="I834" s="30"/>
      <c r="J834" s="30"/>
    </row>
    <row r="835" spans="1:10" ht="13.8">
      <c r="A835" s="30"/>
      <c r="B835" s="30"/>
      <c r="C835" s="10"/>
      <c r="D835" s="30"/>
      <c r="E835" s="30"/>
      <c r="F835" s="30"/>
      <c r="G835" s="30"/>
      <c r="H835" s="30"/>
      <c r="I835" s="30"/>
      <c r="J835" s="30"/>
    </row>
    <row r="836" spans="1:10" ht="13.8">
      <c r="A836" s="30"/>
      <c r="B836" s="30"/>
      <c r="C836" s="10"/>
      <c r="D836" s="30"/>
      <c r="E836" s="30"/>
      <c r="F836" s="30"/>
      <c r="G836" s="30"/>
      <c r="H836" s="30"/>
      <c r="I836" s="30"/>
      <c r="J836" s="30"/>
    </row>
    <row r="837" spans="1:10" ht="13.8">
      <c r="A837" s="30"/>
      <c r="B837" s="30"/>
      <c r="C837" s="10"/>
      <c r="D837" s="30"/>
      <c r="E837" s="30"/>
      <c r="F837" s="30"/>
      <c r="G837" s="30"/>
      <c r="H837" s="30"/>
      <c r="I837" s="30"/>
      <c r="J837" s="30"/>
    </row>
    <row r="838" spans="1:10" ht="13.8">
      <c r="A838" s="30"/>
      <c r="B838" s="30"/>
      <c r="C838" s="10"/>
      <c r="D838" s="30"/>
      <c r="E838" s="30"/>
      <c r="F838" s="30"/>
      <c r="G838" s="30"/>
      <c r="H838" s="30"/>
      <c r="I838" s="30"/>
      <c r="J838" s="30"/>
    </row>
    <row r="839" spans="1:10" ht="13.8">
      <c r="A839" s="30"/>
      <c r="B839" s="30"/>
      <c r="C839" s="10"/>
      <c r="D839" s="30"/>
      <c r="E839" s="30"/>
      <c r="F839" s="30"/>
      <c r="G839" s="30"/>
      <c r="H839" s="30"/>
      <c r="I839" s="30"/>
      <c r="J839" s="30"/>
    </row>
    <row r="840" spans="1:10" ht="13.8">
      <c r="A840" s="30"/>
      <c r="B840" s="30"/>
      <c r="C840" s="10"/>
      <c r="D840" s="30"/>
      <c r="E840" s="30"/>
      <c r="F840" s="30"/>
      <c r="G840" s="30"/>
      <c r="H840" s="30"/>
      <c r="I840" s="30"/>
      <c r="J840" s="30"/>
    </row>
    <row r="841" spans="1:10" ht="13.8">
      <c r="A841" s="30"/>
      <c r="B841" s="30"/>
      <c r="C841" s="10"/>
      <c r="D841" s="30"/>
      <c r="E841" s="30"/>
      <c r="F841" s="30"/>
      <c r="G841" s="30"/>
      <c r="H841" s="30"/>
      <c r="I841" s="30"/>
      <c r="J841" s="30"/>
    </row>
    <row r="842" spans="1:10" ht="13.8">
      <c r="A842" s="30"/>
      <c r="B842" s="30"/>
      <c r="C842" s="10"/>
      <c r="D842" s="30"/>
      <c r="E842" s="30"/>
      <c r="F842" s="30"/>
      <c r="G842" s="30"/>
      <c r="H842" s="30"/>
      <c r="I842" s="30"/>
      <c r="J842" s="30"/>
    </row>
    <row r="843" spans="1:10" ht="13.8">
      <c r="A843" s="30"/>
      <c r="B843" s="30"/>
      <c r="C843" s="10"/>
      <c r="D843" s="30"/>
      <c r="E843" s="30"/>
      <c r="F843" s="30"/>
      <c r="G843" s="30"/>
      <c r="H843" s="30"/>
      <c r="I843" s="30"/>
      <c r="J843" s="30"/>
    </row>
    <row r="844" spans="1:10" ht="13.8">
      <c r="A844" s="30"/>
      <c r="B844" s="30"/>
      <c r="C844" s="10"/>
      <c r="D844" s="30"/>
      <c r="E844" s="30"/>
      <c r="F844" s="30"/>
      <c r="G844" s="30"/>
      <c r="H844" s="30"/>
      <c r="I844" s="30"/>
      <c r="J844" s="30"/>
    </row>
    <row r="845" spans="1:10" ht="13.8">
      <c r="A845" s="30"/>
      <c r="B845" s="30"/>
      <c r="C845" s="10"/>
      <c r="D845" s="30"/>
      <c r="E845" s="30"/>
      <c r="F845" s="30"/>
      <c r="G845" s="30"/>
      <c r="H845" s="30"/>
      <c r="I845" s="30"/>
      <c r="J845" s="30"/>
    </row>
    <row r="846" spans="1:10" ht="13.8">
      <c r="A846" s="30"/>
      <c r="B846" s="30"/>
      <c r="C846" s="10"/>
      <c r="D846" s="30"/>
      <c r="E846" s="30"/>
      <c r="F846" s="30"/>
      <c r="G846" s="30"/>
      <c r="H846" s="30"/>
      <c r="I846" s="30"/>
      <c r="J846" s="30"/>
    </row>
    <row r="847" spans="1:10" ht="13.8">
      <c r="A847" s="30"/>
      <c r="B847" s="30"/>
      <c r="C847" s="10"/>
      <c r="D847" s="30"/>
      <c r="E847" s="30"/>
      <c r="F847" s="30"/>
      <c r="G847" s="30"/>
      <c r="H847" s="30"/>
      <c r="I847" s="30"/>
      <c r="J847" s="30"/>
    </row>
    <row r="848" spans="1:10" ht="13.8">
      <c r="A848" s="30"/>
      <c r="B848" s="30"/>
      <c r="C848" s="10"/>
      <c r="D848" s="30"/>
      <c r="E848" s="30"/>
      <c r="F848" s="30"/>
      <c r="G848" s="30"/>
      <c r="H848" s="30"/>
      <c r="I848" s="30"/>
      <c r="J848" s="30"/>
    </row>
    <row r="849" spans="1:10" ht="13.8">
      <c r="A849" s="30"/>
      <c r="B849" s="30"/>
      <c r="C849" s="10"/>
      <c r="D849" s="30"/>
      <c r="E849" s="30"/>
      <c r="F849" s="30"/>
      <c r="G849" s="30"/>
      <c r="H849" s="30"/>
      <c r="I849" s="30"/>
      <c r="J849" s="30"/>
    </row>
    <row r="850" spans="1:10" ht="13.8">
      <c r="A850" s="30"/>
      <c r="B850" s="30"/>
      <c r="C850" s="10"/>
      <c r="D850" s="30"/>
      <c r="E850" s="30"/>
      <c r="F850" s="30"/>
      <c r="G850" s="30"/>
      <c r="H850" s="30"/>
      <c r="I850" s="30"/>
      <c r="J850" s="30"/>
    </row>
    <row r="851" spans="1:10" ht="13.8">
      <c r="A851" s="30"/>
      <c r="B851" s="30"/>
      <c r="C851" s="10"/>
      <c r="D851" s="30"/>
      <c r="E851" s="30"/>
      <c r="F851" s="30"/>
      <c r="G851" s="30"/>
      <c r="H851" s="30"/>
      <c r="I851" s="30"/>
      <c r="J851" s="30"/>
    </row>
    <row r="852" spans="1:10" ht="13.8">
      <c r="A852" s="30"/>
      <c r="B852" s="30"/>
      <c r="C852" s="10"/>
      <c r="D852" s="30"/>
      <c r="E852" s="30"/>
      <c r="F852" s="30"/>
      <c r="G852" s="30"/>
      <c r="H852" s="30"/>
      <c r="I852" s="30"/>
      <c r="J852" s="30"/>
    </row>
    <row r="853" spans="1:10" ht="13.8">
      <c r="A853" s="30"/>
      <c r="B853" s="30"/>
      <c r="C853" s="10"/>
      <c r="D853" s="30"/>
      <c r="E853" s="30"/>
      <c r="F853" s="30"/>
      <c r="G853" s="30"/>
      <c r="H853" s="30"/>
      <c r="I853" s="30"/>
      <c r="J853" s="30"/>
    </row>
    <row r="854" spans="1:10" ht="13.8">
      <c r="A854" s="30"/>
      <c r="B854" s="30"/>
      <c r="C854" s="10"/>
      <c r="D854" s="30"/>
      <c r="E854" s="30"/>
      <c r="F854" s="30"/>
      <c r="G854" s="30"/>
      <c r="H854" s="30"/>
      <c r="I854" s="30"/>
      <c r="J854" s="30"/>
    </row>
    <row r="855" spans="1:10" ht="13.8">
      <c r="A855" s="30"/>
      <c r="B855" s="30"/>
      <c r="C855" s="10"/>
      <c r="D855" s="30"/>
      <c r="E855" s="30"/>
      <c r="F855" s="30"/>
      <c r="G855" s="30"/>
      <c r="H855" s="30"/>
      <c r="I855" s="30"/>
      <c r="J855" s="30"/>
    </row>
    <row r="856" spans="1:10" ht="13.8">
      <c r="A856" s="30"/>
      <c r="B856" s="30"/>
      <c r="C856" s="10"/>
      <c r="D856" s="30"/>
      <c r="E856" s="30"/>
      <c r="F856" s="30"/>
      <c r="G856" s="30"/>
      <c r="H856" s="30"/>
      <c r="I856" s="30"/>
      <c r="J856" s="30"/>
    </row>
    <row r="857" spans="1:10" ht="13.8">
      <c r="A857" s="30"/>
      <c r="B857" s="30"/>
      <c r="C857" s="10"/>
      <c r="D857" s="30"/>
      <c r="E857" s="30"/>
      <c r="F857" s="30"/>
      <c r="G857" s="30"/>
      <c r="H857" s="30"/>
      <c r="I857" s="30"/>
      <c r="J857" s="30"/>
    </row>
    <row r="858" spans="1:10" ht="13.8">
      <c r="A858" s="30"/>
      <c r="B858" s="30"/>
      <c r="C858" s="10"/>
      <c r="D858" s="30"/>
      <c r="E858" s="30"/>
      <c r="F858" s="30"/>
      <c r="G858" s="30"/>
      <c r="H858" s="30"/>
      <c r="I858" s="30"/>
      <c r="J858" s="30"/>
    </row>
    <row r="859" spans="1:10" ht="13.8">
      <c r="A859" s="30"/>
      <c r="B859" s="30"/>
      <c r="C859" s="10"/>
      <c r="D859" s="30"/>
      <c r="E859" s="30"/>
      <c r="F859" s="30"/>
      <c r="G859" s="30"/>
      <c r="H859" s="30"/>
      <c r="I859" s="30"/>
      <c r="J859" s="30"/>
    </row>
    <row r="860" spans="1:10" ht="13.8">
      <c r="A860" s="30"/>
      <c r="B860" s="30"/>
      <c r="C860" s="10"/>
      <c r="D860" s="30"/>
      <c r="E860" s="30"/>
      <c r="F860" s="30"/>
      <c r="G860" s="30"/>
      <c r="H860" s="30"/>
      <c r="I860" s="30"/>
      <c r="J860" s="30"/>
    </row>
    <row r="861" spans="1:10" ht="13.8">
      <c r="A861" s="30"/>
      <c r="B861" s="30"/>
      <c r="C861" s="10"/>
      <c r="D861" s="30"/>
      <c r="E861" s="30"/>
      <c r="F861" s="30"/>
      <c r="G861" s="30"/>
      <c r="H861" s="30"/>
      <c r="I861" s="30"/>
      <c r="J861" s="30"/>
    </row>
    <row r="862" spans="1:10" ht="13.8">
      <c r="A862" s="30"/>
      <c r="B862" s="30"/>
      <c r="C862" s="10"/>
      <c r="D862" s="30"/>
      <c r="E862" s="30"/>
      <c r="F862" s="30"/>
      <c r="G862" s="30"/>
      <c r="H862" s="30"/>
      <c r="I862" s="30"/>
      <c r="J862" s="30"/>
    </row>
    <row r="863" spans="1:10" ht="13.8">
      <c r="A863" s="30"/>
      <c r="B863" s="30"/>
      <c r="C863" s="10"/>
      <c r="D863" s="30"/>
      <c r="E863" s="30"/>
      <c r="F863" s="30"/>
      <c r="G863" s="30"/>
      <c r="H863" s="30"/>
      <c r="I863" s="30"/>
      <c r="J863" s="30"/>
    </row>
    <row r="864" spans="1:10" ht="13.8">
      <c r="A864" s="30"/>
      <c r="B864" s="30"/>
      <c r="C864" s="10"/>
      <c r="D864" s="30"/>
      <c r="E864" s="30"/>
      <c r="F864" s="30"/>
      <c r="G864" s="30"/>
      <c r="H864" s="30"/>
      <c r="I864" s="30"/>
      <c r="J864" s="30"/>
    </row>
    <row r="865" spans="1:10" ht="13.8">
      <c r="A865" s="30"/>
      <c r="B865" s="30"/>
      <c r="C865" s="10"/>
      <c r="D865" s="30"/>
      <c r="E865" s="30"/>
      <c r="F865" s="30"/>
      <c r="G865" s="30"/>
      <c r="H865" s="30"/>
      <c r="I865" s="30"/>
      <c r="J865" s="30"/>
    </row>
    <row r="866" spans="1:10" ht="13.8">
      <c r="A866" s="30"/>
      <c r="B866" s="30"/>
      <c r="C866" s="10"/>
      <c r="D866" s="30"/>
      <c r="E866" s="30"/>
      <c r="F866" s="30"/>
      <c r="G866" s="30"/>
      <c r="H866" s="30"/>
      <c r="I866" s="30"/>
      <c r="J866" s="30"/>
    </row>
    <row r="867" spans="1:10" ht="13.8">
      <c r="A867" s="30"/>
      <c r="B867" s="30"/>
      <c r="C867" s="10"/>
      <c r="D867" s="30"/>
      <c r="E867" s="30"/>
      <c r="F867" s="30"/>
      <c r="G867" s="30"/>
      <c r="H867" s="30"/>
      <c r="I867" s="30"/>
      <c r="J867" s="30"/>
    </row>
    <row r="868" spans="1:10" ht="13.8">
      <c r="A868" s="30"/>
      <c r="B868" s="30"/>
      <c r="C868" s="10"/>
      <c r="D868" s="30"/>
      <c r="E868" s="30"/>
      <c r="F868" s="30"/>
      <c r="G868" s="30"/>
      <c r="H868" s="30"/>
      <c r="I868" s="30"/>
      <c r="J868" s="30"/>
    </row>
    <row r="869" spans="1:10" ht="13.8">
      <c r="A869" s="30"/>
      <c r="B869" s="30"/>
      <c r="C869" s="10"/>
      <c r="D869" s="30"/>
      <c r="E869" s="30"/>
      <c r="F869" s="30"/>
      <c r="G869" s="30"/>
      <c r="H869" s="30"/>
      <c r="I869" s="30"/>
      <c r="J869" s="30"/>
    </row>
    <row r="870" spans="1:10" ht="13.8">
      <c r="A870" s="30"/>
      <c r="B870" s="30"/>
      <c r="C870" s="10"/>
      <c r="D870" s="30"/>
      <c r="E870" s="30"/>
      <c r="F870" s="30"/>
      <c r="G870" s="30"/>
      <c r="H870" s="30"/>
      <c r="I870" s="30"/>
      <c r="J870" s="30"/>
    </row>
    <row r="871" spans="1:10" ht="13.8">
      <c r="A871" s="30"/>
      <c r="B871" s="30"/>
      <c r="C871" s="10"/>
      <c r="D871" s="30"/>
      <c r="E871" s="30"/>
      <c r="F871" s="30"/>
      <c r="G871" s="30"/>
      <c r="H871" s="30"/>
      <c r="I871" s="30"/>
      <c r="J871" s="30"/>
    </row>
    <row r="872" spans="1:10" ht="13.8">
      <c r="A872" s="30"/>
      <c r="B872" s="30"/>
      <c r="C872" s="10"/>
      <c r="D872" s="30"/>
      <c r="E872" s="30"/>
      <c r="F872" s="30"/>
      <c r="G872" s="30"/>
      <c r="H872" s="30"/>
      <c r="I872" s="30"/>
      <c r="J872" s="30"/>
    </row>
    <row r="873" spans="1:10" ht="13.8">
      <c r="A873" s="30"/>
      <c r="B873" s="30"/>
      <c r="C873" s="10"/>
      <c r="D873" s="30"/>
      <c r="E873" s="30"/>
      <c r="F873" s="30"/>
      <c r="G873" s="30"/>
      <c r="H873" s="30"/>
      <c r="I873" s="30"/>
      <c r="J873" s="30"/>
    </row>
    <row r="874" spans="1:10" ht="13.8">
      <c r="A874" s="30"/>
      <c r="B874" s="30"/>
      <c r="C874" s="10"/>
      <c r="D874" s="30"/>
      <c r="E874" s="30"/>
      <c r="F874" s="30"/>
      <c r="G874" s="30"/>
      <c r="H874" s="30"/>
      <c r="I874" s="30"/>
      <c r="J874" s="30"/>
    </row>
    <row r="875" spans="1:10" ht="13.8">
      <c r="A875" s="30"/>
      <c r="B875" s="30"/>
      <c r="C875" s="10"/>
      <c r="D875" s="30"/>
      <c r="E875" s="30"/>
      <c r="F875" s="30"/>
      <c r="G875" s="30"/>
      <c r="H875" s="30"/>
      <c r="I875" s="30"/>
      <c r="J875" s="30"/>
    </row>
    <row r="876" spans="1:10" ht="13.8">
      <c r="A876" s="30"/>
      <c r="B876" s="30"/>
      <c r="C876" s="10"/>
      <c r="D876" s="30"/>
      <c r="E876" s="30"/>
      <c r="F876" s="30"/>
      <c r="G876" s="30"/>
      <c r="H876" s="30"/>
      <c r="I876" s="30"/>
      <c r="J876" s="30"/>
    </row>
    <row r="877" spans="1:10" ht="13.8">
      <c r="A877" s="30"/>
      <c r="B877" s="30"/>
      <c r="C877" s="10"/>
      <c r="D877" s="30"/>
      <c r="E877" s="30"/>
      <c r="F877" s="30"/>
      <c r="G877" s="30"/>
      <c r="H877" s="30"/>
      <c r="I877" s="30"/>
      <c r="J877" s="30"/>
    </row>
    <row r="878" spans="1:10" ht="13.8">
      <c r="A878" s="30"/>
      <c r="B878" s="30"/>
      <c r="C878" s="10"/>
      <c r="D878" s="30"/>
      <c r="E878" s="30"/>
      <c r="F878" s="30"/>
      <c r="G878" s="30"/>
      <c r="H878" s="30"/>
      <c r="I878" s="30"/>
      <c r="J878" s="30"/>
    </row>
    <row r="879" spans="1:10" ht="13.8">
      <c r="A879" s="30"/>
      <c r="B879" s="30"/>
      <c r="C879" s="10"/>
      <c r="D879" s="30"/>
      <c r="E879" s="30"/>
      <c r="F879" s="30"/>
      <c r="G879" s="30"/>
      <c r="H879" s="30"/>
      <c r="I879" s="30"/>
      <c r="J879" s="30"/>
    </row>
    <row r="880" spans="1:10" ht="13.8">
      <c r="A880" s="30"/>
      <c r="B880" s="30"/>
      <c r="C880" s="10"/>
      <c r="D880" s="30"/>
      <c r="E880" s="30"/>
      <c r="F880" s="30"/>
      <c r="G880" s="30"/>
      <c r="H880" s="30"/>
      <c r="I880" s="30"/>
      <c r="J880" s="30"/>
    </row>
    <row r="881" spans="1:10" ht="13.8">
      <c r="A881" s="30"/>
      <c r="B881" s="30"/>
      <c r="C881" s="10"/>
      <c r="D881" s="30"/>
      <c r="E881" s="30"/>
      <c r="F881" s="30"/>
      <c r="G881" s="30"/>
      <c r="H881" s="30"/>
      <c r="I881" s="30"/>
      <c r="J881" s="30"/>
    </row>
    <row r="882" spans="1:10" ht="13.8">
      <c r="A882" s="30"/>
      <c r="B882" s="30"/>
      <c r="C882" s="10"/>
      <c r="D882" s="30"/>
      <c r="E882" s="30"/>
      <c r="F882" s="30"/>
      <c r="G882" s="30"/>
      <c r="H882" s="30"/>
      <c r="I882" s="30"/>
      <c r="J882" s="30"/>
    </row>
    <row r="883" spans="1:10" ht="13.8">
      <c r="A883" s="30"/>
      <c r="B883" s="30"/>
      <c r="C883" s="10"/>
      <c r="D883" s="30"/>
      <c r="E883" s="30"/>
      <c r="F883" s="30"/>
      <c r="G883" s="30"/>
      <c r="H883" s="30"/>
      <c r="I883" s="30"/>
      <c r="J883" s="30"/>
    </row>
    <row r="884" spans="1:10" ht="13.8">
      <c r="A884" s="30"/>
      <c r="B884" s="30"/>
      <c r="C884" s="10"/>
      <c r="D884" s="30"/>
      <c r="E884" s="30"/>
      <c r="F884" s="30"/>
      <c r="G884" s="30"/>
      <c r="H884" s="30"/>
      <c r="I884" s="30"/>
      <c r="J884" s="30"/>
    </row>
    <row r="885" spans="1:10" ht="13.8">
      <c r="A885" s="30"/>
      <c r="B885" s="30"/>
      <c r="C885" s="10"/>
      <c r="D885" s="30"/>
      <c r="E885" s="30"/>
      <c r="F885" s="30"/>
      <c r="G885" s="30"/>
      <c r="H885" s="30"/>
      <c r="I885" s="30"/>
      <c r="J885" s="30"/>
    </row>
    <row r="886" spans="1:10" ht="13.8">
      <c r="A886" s="30"/>
      <c r="B886" s="30"/>
      <c r="C886" s="10"/>
      <c r="D886" s="30"/>
      <c r="E886" s="30"/>
      <c r="F886" s="30"/>
      <c r="G886" s="30"/>
      <c r="H886" s="30"/>
      <c r="I886" s="30"/>
      <c r="J886" s="30"/>
    </row>
    <row r="887" spans="1:10" ht="13.8">
      <c r="A887" s="30"/>
      <c r="B887" s="30"/>
      <c r="C887" s="10"/>
      <c r="D887" s="30"/>
      <c r="E887" s="30"/>
      <c r="F887" s="30"/>
      <c r="G887" s="30"/>
      <c r="H887" s="30"/>
      <c r="I887" s="30"/>
      <c r="J887" s="30"/>
    </row>
    <row r="888" spans="1:10" ht="13.8">
      <c r="A888" s="30"/>
      <c r="B888" s="30"/>
      <c r="C888" s="10"/>
      <c r="D888" s="30"/>
      <c r="E888" s="30"/>
      <c r="F888" s="30"/>
      <c r="G888" s="30"/>
      <c r="H888" s="30"/>
      <c r="I888" s="30"/>
      <c r="J888" s="30"/>
    </row>
    <row r="889" spans="1:10" ht="13.8">
      <c r="A889" s="30"/>
      <c r="B889" s="30"/>
      <c r="C889" s="10"/>
      <c r="D889" s="30"/>
      <c r="E889" s="30"/>
      <c r="F889" s="30"/>
      <c r="G889" s="30"/>
      <c r="H889" s="30"/>
      <c r="I889" s="30"/>
      <c r="J889" s="30"/>
    </row>
    <row r="890" spans="1:10" ht="13.8">
      <c r="A890" s="30"/>
      <c r="B890" s="30"/>
      <c r="C890" s="10"/>
      <c r="D890" s="30"/>
      <c r="E890" s="30"/>
      <c r="F890" s="30"/>
      <c r="G890" s="30"/>
      <c r="H890" s="30"/>
      <c r="I890" s="30"/>
      <c r="J890" s="30"/>
    </row>
    <row r="891" spans="1:10" ht="13.8">
      <c r="A891" s="30"/>
      <c r="B891" s="30"/>
      <c r="C891" s="10"/>
      <c r="D891" s="30"/>
      <c r="E891" s="30"/>
      <c r="F891" s="30"/>
      <c r="G891" s="30"/>
      <c r="H891" s="30"/>
      <c r="I891" s="30"/>
      <c r="J891" s="30"/>
    </row>
    <row r="892" spans="1:10" ht="13.8">
      <c r="A892" s="30"/>
      <c r="B892" s="30"/>
      <c r="C892" s="10"/>
      <c r="D892" s="30"/>
      <c r="E892" s="30"/>
      <c r="F892" s="30"/>
      <c r="G892" s="30"/>
      <c r="H892" s="30"/>
      <c r="I892" s="30"/>
      <c r="J892" s="30"/>
    </row>
    <row r="893" spans="1:10" ht="13.8">
      <c r="A893" s="30"/>
      <c r="B893" s="30"/>
      <c r="C893" s="10"/>
      <c r="D893" s="30"/>
      <c r="E893" s="30"/>
      <c r="F893" s="30"/>
      <c r="G893" s="30"/>
      <c r="H893" s="30"/>
      <c r="I893" s="30"/>
      <c r="J893" s="30"/>
    </row>
    <row r="894" spans="1:10" ht="13.8">
      <c r="A894" s="30"/>
      <c r="B894" s="30"/>
      <c r="C894" s="10"/>
      <c r="D894" s="30"/>
      <c r="E894" s="30"/>
      <c r="F894" s="30"/>
      <c r="G894" s="30"/>
      <c r="H894" s="30"/>
      <c r="I894" s="30"/>
      <c r="J894" s="30"/>
    </row>
    <row r="895" spans="1:10" ht="13.8">
      <c r="A895" s="30"/>
      <c r="B895" s="30"/>
      <c r="C895" s="10"/>
      <c r="D895" s="30"/>
      <c r="E895" s="30"/>
      <c r="F895" s="30"/>
      <c r="G895" s="30"/>
      <c r="H895" s="30"/>
      <c r="I895" s="30"/>
      <c r="J895" s="30"/>
    </row>
    <row r="896" spans="1:10" ht="13.8">
      <c r="A896" s="30"/>
      <c r="B896" s="30"/>
      <c r="C896" s="10"/>
      <c r="D896" s="30"/>
      <c r="E896" s="30"/>
      <c r="F896" s="30"/>
      <c r="G896" s="30"/>
      <c r="H896" s="30"/>
      <c r="I896" s="30"/>
      <c r="J896" s="30"/>
    </row>
    <row r="897" spans="1:10" ht="13.8">
      <c r="A897" s="30"/>
      <c r="B897" s="30"/>
      <c r="C897" s="10"/>
      <c r="D897" s="30"/>
      <c r="E897" s="30"/>
      <c r="F897" s="30"/>
      <c r="G897" s="30"/>
      <c r="H897" s="30"/>
      <c r="I897" s="30"/>
      <c r="J897" s="30"/>
    </row>
    <row r="898" spans="1:10" ht="13.8">
      <c r="A898" s="30"/>
      <c r="B898" s="30"/>
      <c r="C898" s="10"/>
      <c r="D898" s="30"/>
      <c r="E898" s="30"/>
      <c r="F898" s="30"/>
      <c r="G898" s="30"/>
      <c r="H898" s="30"/>
      <c r="I898" s="30"/>
      <c r="J898" s="30"/>
    </row>
    <row r="899" spans="1:10" ht="13.8">
      <c r="A899" s="30"/>
      <c r="B899" s="30"/>
      <c r="C899" s="10"/>
      <c r="D899" s="30"/>
      <c r="E899" s="30"/>
      <c r="F899" s="30"/>
      <c r="G899" s="30"/>
      <c r="H899" s="30"/>
      <c r="I899" s="30"/>
      <c r="J899" s="30"/>
    </row>
    <row r="900" spans="1:10" ht="13.8">
      <c r="A900" s="30"/>
      <c r="B900" s="30"/>
      <c r="C900" s="10"/>
      <c r="D900" s="30"/>
      <c r="E900" s="30"/>
      <c r="F900" s="30"/>
      <c r="G900" s="30"/>
      <c r="H900" s="30"/>
      <c r="I900" s="30"/>
      <c r="J900" s="30"/>
    </row>
    <row r="901" spans="1:10" ht="13.8">
      <c r="A901" s="30"/>
      <c r="B901" s="30"/>
      <c r="C901" s="10"/>
      <c r="D901" s="30"/>
      <c r="E901" s="30"/>
      <c r="F901" s="30"/>
      <c r="G901" s="30"/>
      <c r="H901" s="30"/>
      <c r="I901" s="30"/>
      <c r="J901" s="30"/>
    </row>
    <row r="902" spans="1:10" ht="13.8">
      <c r="A902" s="30"/>
      <c r="B902" s="30"/>
      <c r="C902" s="10"/>
      <c r="D902" s="30"/>
      <c r="E902" s="30"/>
      <c r="F902" s="30"/>
      <c r="G902" s="30"/>
      <c r="H902" s="30"/>
      <c r="I902" s="30"/>
      <c r="J902" s="30"/>
    </row>
    <row r="903" spans="1:10" ht="13.8">
      <c r="A903" s="30"/>
      <c r="B903" s="30"/>
      <c r="C903" s="10"/>
      <c r="D903" s="30"/>
      <c r="E903" s="30"/>
      <c r="F903" s="30"/>
      <c r="G903" s="30"/>
      <c r="H903" s="30"/>
      <c r="I903" s="30"/>
      <c r="J903" s="30"/>
    </row>
    <row r="904" spans="1:10" ht="13.8">
      <c r="A904" s="30"/>
      <c r="B904" s="30"/>
      <c r="C904" s="10"/>
      <c r="D904" s="30"/>
      <c r="E904" s="30"/>
      <c r="F904" s="30"/>
      <c r="G904" s="30"/>
      <c r="H904" s="30"/>
      <c r="I904" s="30"/>
      <c r="J904" s="30"/>
    </row>
    <row r="905" spans="1:10" ht="13.8">
      <c r="A905" s="30"/>
      <c r="B905" s="30"/>
      <c r="C905" s="10"/>
      <c r="D905" s="30"/>
      <c r="E905" s="30"/>
      <c r="F905" s="30"/>
      <c r="G905" s="30"/>
      <c r="H905" s="30"/>
      <c r="I905" s="30"/>
      <c r="J905" s="30"/>
    </row>
    <row r="906" spans="1:10" ht="13.8">
      <c r="A906" s="30"/>
      <c r="B906" s="30"/>
      <c r="C906" s="10"/>
      <c r="D906" s="30"/>
      <c r="E906" s="30"/>
      <c r="F906" s="30"/>
      <c r="G906" s="30"/>
      <c r="H906" s="30"/>
      <c r="I906" s="30"/>
      <c r="J906" s="30"/>
    </row>
    <row r="907" spans="1:10" ht="13.8">
      <c r="A907" s="30"/>
      <c r="B907" s="30"/>
      <c r="C907" s="10"/>
      <c r="D907" s="30"/>
      <c r="E907" s="30"/>
      <c r="F907" s="30"/>
      <c r="G907" s="30"/>
      <c r="H907" s="30"/>
      <c r="I907" s="30"/>
      <c r="J907" s="30"/>
    </row>
    <row r="908" spans="1:10" ht="13.8">
      <c r="A908" s="30"/>
      <c r="B908" s="30"/>
      <c r="C908" s="10"/>
      <c r="D908" s="30"/>
      <c r="E908" s="30"/>
      <c r="F908" s="30"/>
      <c r="G908" s="30"/>
      <c r="H908" s="30"/>
      <c r="I908" s="30"/>
      <c r="J908" s="30"/>
    </row>
    <row r="909" spans="1:10" ht="13.8">
      <c r="A909" s="30"/>
      <c r="B909" s="30"/>
      <c r="C909" s="10"/>
      <c r="D909" s="30"/>
      <c r="E909" s="30"/>
      <c r="F909" s="30"/>
      <c r="G909" s="30"/>
      <c r="H909" s="30"/>
      <c r="I909" s="30"/>
      <c r="J909" s="30"/>
    </row>
    <row r="910" spans="1:10" ht="13.8">
      <c r="A910" s="30"/>
      <c r="B910" s="30"/>
      <c r="C910" s="10"/>
      <c r="D910" s="30"/>
      <c r="E910" s="30"/>
      <c r="F910" s="30"/>
      <c r="G910" s="30"/>
      <c r="H910" s="30"/>
      <c r="I910" s="30"/>
      <c r="J910" s="30"/>
    </row>
    <row r="911" spans="1:10" ht="13.8">
      <c r="A911" s="30"/>
      <c r="B911" s="30"/>
      <c r="C911" s="10"/>
      <c r="D911" s="30"/>
      <c r="E911" s="30"/>
      <c r="F911" s="30"/>
      <c r="G911" s="30"/>
      <c r="H911" s="30"/>
      <c r="I911" s="30"/>
      <c r="J911" s="30"/>
    </row>
    <row r="912" spans="1:10" ht="13.8">
      <c r="A912" s="30"/>
      <c r="B912" s="30"/>
      <c r="C912" s="10"/>
      <c r="D912" s="30"/>
      <c r="E912" s="30"/>
      <c r="F912" s="30"/>
      <c r="G912" s="30"/>
      <c r="H912" s="30"/>
      <c r="I912" s="30"/>
      <c r="J912" s="30"/>
    </row>
    <row r="913" spans="1:10" ht="13.8">
      <c r="A913" s="30"/>
      <c r="B913" s="30"/>
      <c r="C913" s="10"/>
      <c r="D913" s="30"/>
      <c r="E913" s="30"/>
      <c r="F913" s="30"/>
      <c r="G913" s="30"/>
      <c r="H913" s="30"/>
      <c r="I913" s="30"/>
      <c r="J913" s="30"/>
    </row>
    <row r="914" spans="1:10" ht="13.8">
      <c r="A914" s="30"/>
      <c r="B914" s="30"/>
      <c r="C914" s="10"/>
      <c r="D914" s="30"/>
      <c r="E914" s="30"/>
      <c r="F914" s="30"/>
      <c r="G914" s="30"/>
      <c r="H914" s="30"/>
      <c r="I914" s="30"/>
      <c r="J914" s="30"/>
    </row>
    <row r="915" spans="1:10" ht="13.8">
      <c r="A915" s="30"/>
      <c r="B915" s="30"/>
      <c r="C915" s="10"/>
      <c r="D915" s="30"/>
      <c r="E915" s="30"/>
      <c r="F915" s="30"/>
      <c r="G915" s="30"/>
      <c r="H915" s="30"/>
      <c r="I915" s="30"/>
      <c r="J915" s="30"/>
    </row>
    <row r="916" spans="1:10" ht="13.8">
      <c r="A916" s="30"/>
      <c r="B916" s="30"/>
      <c r="C916" s="10"/>
      <c r="D916" s="30"/>
      <c r="E916" s="30"/>
      <c r="F916" s="30"/>
      <c r="G916" s="30"/>
      <c r="H916" s="30"/>
      <c r="I916" s="30"/>
      <c r="J916" s="30"/>
    </row>
    <row r="917" spans="1:10" ht="13.8">
      <c r="A917" s="30"/>
      <c r="B917" s="30"/>
      <c r="C917" s="10"/>
      <c r="D917" s="30"/>
      <c r="E917" s="30"/>
      <c r="F917" s="30"/>
      <c r="G917" s="30"/>
      <c r="H917" s="30"/>
      <c r="I917" s="30"/>
      <c r="J917" s="30"/>
    </row>
    <row r="918" spans="1:10" ht="13.8">
      <c r="A918" s="30"/>
      <c r="B918" s="30"/>
      <c r="C918" s="10"/>
      <c r="D918" s="30"/>
      <c r="E918" s="30"/>
      <c r="F918" s="30"/>
      <c r="G918" s="30"/>
      <c r="H918" s="30"/>
      <c r="I918" s="30"/>
      <c r="J918" s="30"/>
    </row>
    <row r="919" spans="1:10" ht="13.8">
      <c r="A919" s="30"/>
      <c r="B919" s="30"/>
      <c r="C919" s="10"/>
      <c r="D919" s="30"/>
      <c r="E919" s="30"/>
      <c r="F919" s="30"/>
      <c r="G919" s="30"/>
      <c r="H919" s="30"/>
      <c r="I919" s="30"/>
      <c r="J919" s="30"/>
    </row>
    <row r="920" spans="1:10" ht="13.8">
      <c r="A920" s="30"/>
      <c r="B920" s="30"/>
      <c r="C920" s="10"/>
      <c r="D920" s="30"/>
      <c r="E920" s="30"/>
      <c r="F920" s="30"/>
      <c r="G920" s="30"/>
      <c r="H920" s="30"/>
      <c r="I920" s="30"/>
      <c r="J920" s="30"/>
    </row>
    <row r="921" spans="1:10" ht="13.8">
      <c r="A921" s="30"/>
      <c r="B921" s="30"/>
      <c r="C921" s="10"/>
      <c r="D921" s="30"/>
      <c r="E921" s="30"/>
      <c r="F921" s="30"/>
      <c r="G921" s="30"/>
      <c r="H921" s="30"/>
      <c r="I921" s="30"/>
      <c r="J921" s="30"/>
    </row>
    <row r="922" spans="1:10" ht="13.8">
      <c r="A922" s="30"/>
      <c r="B922" s="30"/>
      <c r="C922" s="10"/>
      <c r="D922" s="30"/>
      <c r="E922" s="30"/>
      <c r="F922" s="30"/>
      <c r="G922" s="30"/>
      <c r="H922" s="30"/>
      <c r="I922" s="30"/>
      <c r="J922" s="30"/>
    </row>
    <row r="923" spans="1:10" ht="13.8">
      <c r="A923" s="30"/>
      <c r="B923" s="30"/>
      <c r="C923" s="10"/>
      <c r="D923" s="30"/>
      <c r="E923" s="30"/>
      <c r="F923" s="30"/>
      <c r="G923" s="30"/>
      <c r="H923" s="30"/>
      <c r="I923" s="30"/>
      <c r="J923" s="30"/>
    </row>
    <row r="924" spans="1:10" ht="13.8">
      <c r="A924" s="30"/>
      <c r="B924" s="30"/>
      <c r="C924" s="10"/>
      <c r="D924" s="30"/>
      <c r="E924" s="30"/>
      <c r="F924" s="30"/>
      <c r="G924" s="30"/>
      <c r="H924" s="30"/>
      <c r="I924" s="30"/>
      <c r="J924" s="30"/>
    </row>
    <row r="925" spans="1:10" ht="13.8">
      <c r="A925" s="30"/>
      <c r="B925" s="30"/>
      <c r="C925" s="10"/>
      <c r="D925" s="30"/>
      <c r="E925" s="30"/>
      <c r="F925" s="30"/>
      <c r="G925" s="30"/>
      <c r="H925" s="30"/>
      <c r="I925" s="30"/>
      <c r="J925" s="30"/>
    </row>
    <row r="926" spans="1:10" ht="13.8">
      <c r="A926" s="30"/>
      <c r="B926" s="30"/>
      <c r="C926" s="10"/>
      <c r="D926" s="30"/>
      <c r="E926" s="30"/>
      <c r="F926" s="30"/>
      <c r="G926" s="30"/>
      <c r="H926" s="30"/>
      <c r="I926" s="30"/>
      <c r="J926" s="30"/>
    </row>
    <row r="927" spans="1:10" ht="13.8">
      <c r="A927" s="30"/>
      <c r="B927" s="30"/>
      <c r="C927" s="10"/>
      <c r="D927" s="30"/>
      <c r="E927" s="30"/>
      <c r="F927" s="30"/>
      <c r="G927" s="30"/>
      <c r="H927" s="30"/>
      <c r="I927" s="30"/>
      <c r="J927" s="30"/>
    </row>
    <row r="928" spans="1:10" ht="13.8">
      <c r="A928" s="30"/>
      <c r="B928" s="30"/>
      <c r="C928" s="10"/>
      <c r="D928" s="30"/>
      <c r="E928" s="30"/>
      <c r="F928" s="30"/>
      <c r="G928" s="30"/>
      <c r="H928" s="30"/>
      <c r="I928" s="30"/>
      <c r="J928" s="30"/>
    </row>
    <row r="929" spans="1:10" ht="13.8">
      <c r="A929" s="30"/>
      <c r="B929" s="30"/>
      <c r="C929" s="10"/>
      <c r="D929" s="30"/>
      <c r="E929" s="30"/>
      <c r="F929" s="30"/>
      <c r="G929" s="30"/>
      <c r="H929" s="30"/>
      <c r="I929" s="30"/>
      <c r="J929" s="30"/>
    </row>
    <row r="930" spans="1:10" ht="13.8">
      <c r="A930" s="30"/>
      <c r="B930" s="30"/>
      <c r="C930" s="10"/>
      <c r="D930" s="30"/>
      <c r="E930" s="30"/>
      <c r="F930" s="30"/>
      <c r="G930" s="30"/>
      <c r="H930" s="30"/>
      <c r="I930" s="30"/>
      <c r="J930" s="30"/>
    </row>
    <row r="931" spans="1:10" ht="13.8">
      <c r="A931" s="30"/>
      <c r="B931" s="30"/>
      <c r="C931" s="10"/>
      <c r="D931" s="30"/>
      <c r="E931" s="30"/>
      <c r="F931" s="30"/>
      <c r="G931" s="30"/>
      <c r="H931" s="30"/>
      <c r="I931" s="30"/>
      <c r="J931" s="30"/>
    </row>
    <row r="932" spans="1:10" ht="13.8">
      <c r="A932" s="30"/>
      <c r="B932" s="30"/>
      <c r="C932" s="10"/>
      <c r="D932" s="30"/>
      <c r="E932" s="30"/>
      <c r="F932" s="30"/>
      <c r="G932" s="30"/>
      <c r="H932" s="30"/>
      <c r="I932" s="30"/>
      <c r="J932" s="30"/>
    </row>
    <row r="933" spans="1:10" ht="13.8">
      <c r="A933" s="30"/>
      <c r="B933" s="30"/>
      <c r="C933" s="10"/>
      <c r="D933" s="30"/>
      <c r="E933" s="30"/>
      <c r="F933" s="30"/>
      <c r="G933" s="30"/>
      <c r="H933" s="30"/>
      <c r="I933" s="30"/>
      <c r="J933" s="30"/>
    </row>
    <row r="934" spans="1:10" ht="13.8">
      <c r="A934" s="30"/>
      <c r="B934" s="30"/>
      <c r="C934" s="10"/>
      <c r="D934" s="30"/>
      <c r="E934" s="30"/>
      <c r="F934" s="30"/>
      <c r="G934" s="30"/>
      <c r="H934" s="30"/>
      <c r="I934" s="30"/>
      <c r="J934" s="30"/>
    </row>
    <row r="935" spans="1:10" ht="13.8">
      <c r="A935" s="30"/>
      <c r="B935" s="30"/>
      <c r="C935" s="10"/>
      <c r="D935" s="30"/>
      <c r="E935" s="30"/>
      <c r="F935" s="30"/>
      <c r="G935" s="30"/>
      <c r="H935" s="30"/>
      <c r="I935" s="30"/>
      <c r="J935" s="30"/>
    </row>
    <row r="936" spans="1:10" ht="13.8">
      <c r="A936" s="30"/>
      <c r="B936" s="30"/>
      <c r="C936" s="10"/>
      <c r="D936" s="30"/>
      <c r="E936" s="30"/>
      <c r="F936" s="30"/>
      <c r="G936" s="30"/>
      <c r="H936" s="30"/>
      <c r="I936" s="30"/>
      <c r="J936" s="30"/>
    </row>
    <row r="937" spans="1:10" ht="13.8">
      <c r="A937" s="30"/>
      <c r="B937" s="30"/>
      <c r="C937" s="10"/>
      <c r="D937" s="30"/>
      <c r="E937" s="30"/>
      <c r="F937" s="30"/>
      <c r="G937" s="30"/>
      <c r="H937" s="30"/>
      <c r="I937" s="30"/>
      <c r="J937" s="30"/>
    </row>
    <row r="938" spans="1:10" ht="13.8">
      <c r="A938" s="30"/>
      <c r="B938" s="30"/>
      <c r="C938" s="10"/>
      <c r="D938" s="30"/>
      <c r="E938" s="30"/>
      <c r="F938" s="30"/>
      <c r="G938" s="30"/>
      <c r="H938" s="30"/>
      <c r="I938" s="30"/>
      <c r="J938" s="30"/>
    </row>
    <row r="939" spans="1:10" ht="13.8">
      <c r="A939" s="30"/>
      <c r="B939" s="30"/>
      <c r="C939" s="10"/>
      <c r="D939" s="30"/>
      <c r="E939" s="30"/>
      <c r="F939" s="30"/>
      <c r="G939" s="30"/>
      <c r="H939" s="30"/>
      <c r="I939" s="30"/>
      <c r="J939" s="30"/>
    </row>
    <row r="940" spans="1:10" ht="13.8">
      <c r="A940" s="30"/>
      <c r="B940" s="30"/>
      <c r="C940" s="10"/>
      <c r="D940" s="30"/>
      <c r="E940" s="30"/>
      <c r="F940" s="30"/>
      <c r="G940" s="30"/>
      <c r="H940" s="30"/>
      <c r="I940" s="30"/>
      <c r="J940" s="30"/>
    </row>
    <row r="941" spans="1:10" ht="13.8">
      <c r="A941" s="30"/>
      <c r="B941" s="30"/>
      <c r="C941" s="10"/>
      <c r="D941" s="30"/>
      <c r="E941" s="30"/>
      <c r="F941" s="30"/>
      <c r="G941" s="30"/>
      <c r="H941" s="30"/>
      <c r="I941" s="30"/>
      <c r="J941" s="30"/>
    </row>
    <row r="942" spans="1:10" ht="13.8">
      <c r="A942" s="30"/>
      <c r="B942" s="30"/>
      <c r="C942" s="10"/>
      <c r="D942" s="30"/>
      <c r="E942" s="30"/>
      <c r="F942" s="30"/>
      <c r="G942" s="30"/>
      <c r="H942" s="30"/>
      <c r="I942" s="30"/>
      <c r="J942" s="30"/>
    </row>
    <row r="943" spans="1:10" ht="13.8">
      <c r="A943" s="30"/>
      <c r="B943" s="30"/>
      <c r="C943" s="10"/>
      <c r="D943" s="30"/>
      <c r="E943" s="30"/>
      <c r="F943" s="30"/>
      <c r="G943" s="30"/>
      <c r="H943" s="30"/>
      <c r="I943" s="30"/>
      <c r="J943" s="30"/>
    </row>
    <row r="944" spans="1:10" ht="13.8">
      <c r="A944" s="30"/>
      <c r="B944" s="30"/>
      <c r="C944" s="10"/>
      <c r="D944" s="30"/>
      <c r="E944" s="30"/>
      <c r="F944" s="30"/>
      <c r="G944" s="30"/>
      <c r="H944" s="30"/>
      <c r="I944" s="30"/>
      <c r="J944" s="30"/>
    </row>
    <row r="945" spans="1:10" ht="13.8">
      <c r="A945" s="30"/>
      <c r="B945" s="30"/>
      <c r="C945" s="10"/>
      <c r="D945" s="30"/>
      <c r="E945" s="30"/>
      <c r="F945" s="30"/>
      <c r="G945" s="30"/>
      <c r="H945" s="30"/>
      <c r="I945" s="30"/>
      <c r="J945" s="30"/>
    </row>
    <row r="946" spans="1:10" ht="13.8">
      <c r="A946" s="30"/>
      <c r="B946" s="30"/>
      <c r="C946" s="10"/>
      <c r="D946" s="30"/>
      <c r="E946" s="30"/>
      <c r="F946" s="30"/>
      <c r="G946" s="30"/>
      <c r="H946" s="30"/>
      <c r="I946" s="30"/>
      <c r="J946" s="30"/>
    </row>
    <row r="947" spans="1:10" ht="13.8">
      <c r="A947" s="30"/>
      <c r="B947" s="30"/>
      <c r="C947" s="10"/>
      <c r="D947" s="30"/>
      <c r="E947" s="30"/>
      <c r="F947" s="30"/>
      <c r="G947" s="30"/>
      <c r="H947" s="30"/>
      <c r="I947" s="30"/>
      <c r="J947" s="30"/>
    </row>
    <row r="948" spans="1:10" ht="13.8">
      <c r="A948" s="30"/>
      <c r="B948" s="30"/>
      <c r="C948" s="10"/>
      <c r="D948" s="30"/>
      <c r="E948" s="30"/>
      <c r="F948" s="30"/>
      <c r="G948" s="30"/>
      <c r="H948" s="30"/>
      <c r="I948" s="30"/>
      <c r="J948" s="30"/>
    </row>
    <row r="949" spans="1:10" ht="13.8">
      <c r="A949" s="30"/>
      <c r="B949" s="30"/>
      <c r="C949" s="10"/>
      <c r="D949" s="30"/>
      <c r="E949" s="30"/>
      <c r="F949" s="30"/>
      <c r="G949" s="30"/>
      <c r="H949" s="30"/>
      <c r="I949" s="30"/>
      <c r="J949" s="30"/>
    </row>
    <row r="950" spans="1:10" ht="13.8">
      <c r="A950" s="30"/>
      <c r="B950" s="30"/>
      <c r="C950" s="10"/>
      <c r="D950" s="30"/>
      <c r="E950" s="30"/>
      <c r="F950" s="30"/>
      <c r="G950" s="30"/>
      <c r="H950" s="30"/>
      <c r="I950" s="30"/>
      <c r="J950" s="30"/>
    </row>
    <row r="951" spans="1:10" ht="13.8">
      <c r="A951" s="30"/>
      <c r="B951" s="30"/>
      <c r="C951" s="10"/>
      <c r="D951" s="30"/>
      <c r="E951" s="30"/>
      <c r="F951" s="30"/>
      <c r="G951" s="30"/>
      <c r="H951" s="30"/>
      <c r="I951" s="30"/>
      <c r="J951" s="30"/>
    </row>
    <row r="952" spans="1:10" ht="13.8">
      <c r="A952" s="30"/>
      <c r="B952" s="30"/>
      <c r="C952" s="10"/>
      <c r="D952" s="30"/>
      <c r="E952" s="30"/>
      <c r="F952" s="30"/>
      <c r="G952" s="30"/>
      <c r="H952" s="30"/>
      <c r="I952" s="30"/>
      <c r="J952" s="30"/>
    </row>
    <row r="953" spans="1:10" ht="13.8">
      <c r="A953" s="30"/>
      <c r="B953" s="30"/>
      <c r="C953" s="10"/>
      <c r="D953" s="30"/>
      <c r="E953" s="30"/>
      <c r="F953" s="30"/>
      <c r="G953" s="30"/>
      <c r="H953" s="30"/>
      <c r="I953" s="30"/>
      <c r="J953" s="30"/>
    </row>
    <row r="954" spans="1:10" ht="13.8">
      <c r="A954" s="30"/>
      <c r="B954" s="30"/>
      <c r="C954" s="10"/>
      <c r="D954" s="30"/>
      <c r="E954" s="30"/>
      <c r="F954" s="30"/>
      <c r="G954" s="30"/>
      <c r="H954" s="30"/>
      <c r="I954" s="30"/>
      <c r="J954" s="30"/>
    </row>
    <row r="955" spans="1:10" ht="13.8">
      <c r="A955" s="30"/>
      <c r="B955" s="30"/>
      <c r="C955" s="10"/>
      <c r="D955" s="30"/>
      <c r="E955" s="30"/>
      <c r="F955" s="30"/>
      <c r="G955" s="30"/>
      <c r="H955" s="30"/>
      <c r="I955" s="30"/>
      <c r="J955" s="30"/>
    </row>
    <row r="956" spans="1:10" ht="13.8">
      <c r="A956" s="30"/>
      <c r="B956" s="30"/>
      <c r="C956" s="10"/>
      <c r="D956" s="30"/>
      <c r="E956" s="30"/>
      <c r="F956" s="30"/>
      <c r="G956" s="30"/>
      <c r="H956" s="30"/>
      <c r="I956" s="30"/>
      <c r="J956" s="30"/>
    </row>
    <row r="957" spans="1:10" ht="13.8">
      <c r="A957" s="30"/>
      <c r="B957" s="30"/>
      <c r="C957" s="10"/>
      <c r="D957" s="30"/>
      <c r="E957" s="30"/>
      <c r="F957" s="30"/>
      <c r="G957" s="30"/>
      <c r="H957" s="30"/>
      <c r="I957" s="30"/>
      <c r="J957" s="30"/>
    </row>
    <row r="958" spans="1:10" ht="13.8">
      <c r="A958" s="30"/>
      <c r="B958" s="30"/>
      <c r="C958" s="10"/>
      <c r="D958" s="30"/>
      <c r="E958" s="30"/>
      <c r="F958" s="30"/>
      <c r="G958" s="30"/>
      <c r="H958" s="30"/>
      <c r="I958" s="30"/>
      <c r="J958" s="30"/>
    </row>
    <row r="959" spans="1:10" ht="13.8">
      <c r="A959" s="30"/>
      <c r="B959" s="30"/>
      <c r="C959" s="10"/>
      <c r="D959" s="30"/>
      <c r="E959" s="30"/>
      <c r="F959" s="30"/>
      <c r="G959" s="30"/>
      <c r="H959" s="30"/>
      <c r="I959" s="30"/>
      <c r="J959" s="30"/>
    </row>
    <row r="960" spans="1:10" ht="13.8">
      <c r="A960" s="30"/>
      <c r="B960" s="30"/>
      <c r="C960" s="10"/>
      <c r="D960" s="30"/>
      <c r="E960" s="30"/>
      <c r="F960" s="30"/>
      <c r="G960" s="30"/>
      <c r="H960" s="30"/>
      <c r="I960" s="30"/>
      <c r="J960" s="30"/>
    </row>
    <row r="961" spans="1:10" ht="13.8">
      <c r="A961" s="30"/>
      <c r="B961" s="30"/>
      <c r="C961" s="10"/>
      <c r="D961" s="30"/>
      <c r="E961" s="30"/>
      <c r="F961" s="30"/>
      <c r="G961" s="30"/>
      <c r="H961" s="30"/>
      <c r="I961" s="30"/>
      <c r="J961" s="30"/>
    </row>
    <row r="962" spans="1:10" ht="13.8">
      <c r="A962" s="30"/>
      <c r="B962" s="30"/>
      <c r="C962" s="10"/>
      <c r="D962" s="30"/>
      <c r="E962" s="30"/>
      <c r="F962" s="30"/>
      <c r="G962" s="30"/>
      <c r="H962" s="30"/>
      <c r="I962" s="30"/>
      <c r="J962" s="30"/>
    </row>
    <row r="963" spans="1:10" ht="13.8">
      <c r="A963" s="30"/>
      <c r="B963" s="30"/>
      <c r="C963" s="10"/>
      <c r="D963" s="30"/>
      <c r="E963" s="30"/>
      <c r="F963" s="30"/>
      <c r="G963" s="30"/>
      <c r="H963" s="30"/>
      <c r="I963" s="30"/>
      <c r="J963" s="30"/>
    </row>
    <row r="964" spans="1:10" ht="13.8">
      <c r="A964" s="30"/>
      <c r="B964" s="30"/>
      <c r="C964" s="10"/>
      <c r="D964" s="30"/>
      <c r="E964" s="30"/>
      <c r="F964" s="30"/>
      <c r="G964" s="30"/>
      <c r="H964" s="30"/>
      <c r="I964" s="30"/>
      <c r="J964" s="30"/>
    </row>
    <row r="965" spans="1:10" ht="13.8">
      <c r="A965" s="30"/>
      <c r="B965" s="30"/>
      <c r="C965" s="10"/>
      <c r="D965" s="30"/>
      <c r="E965" s="30"/>
      <c r="F965" s="30"/>
      <c r="G965" s="30"/>
      <c r="H965" s="30"/>
      <c r="I965" s="30"/>
      <c r="J965" s="30"/>
    </row>
    <row r="966" spans="1:10" ht="13.8">
      <c r="A966" s="30"/>
      <c r="B966" s="30"/>
      <c r="C966" s="10"/>
      <c r="D966" s="30"/>
      <c r="E966" s="30"/>
      <c r="F966" s="30"/>
      <c r="G966" s="30"/>
      <c r="H966" s="30"/>
      <c r="I966" s="30"/>
      <c r="J966" s="30"/>
    </row>
    <row r="967" spans="1:10" ht="13.8">
      <c r="A967" s="30"/>
      <c r="B967" s="30"/>
      <c r="C967" s="10"/>
      <c r="D967" s="30"/>
      <c r="E967" s="30"/>
      <c r="F967" s="30"/>
      <c r="G967" s="30"/>
      <c r="H967" s="30"/>
      <c r="I967" s="30"/>
      <c r="J967" s="30"/>
    </row>
    <row r="968" spans="1:10" ht="13.8">
      <c r="A968" s="30"/>
      <c r="B968" s="30"/>
      <c r="C968" s="10"/>
      <c r="D968" s="30"/>
      <c r="E968" s="30"/>
      <c r="F968" s="30"/>
      <c r="G968" s="30"/>
      <c r="H968" s="30"/>
      <c r="I968" s="30"/>
      <c r="J968" s="30"/>
    </row>
    <row r="969" spans="1:10" ht="13.8">
      <c r="A969" s="30"/>
      <c r="B969" s="30"/>
      <c r="C969" s="10"/>
      <c r="D969" s="30"/>
      <c r="E969" s="30"/>
      <c r="F969" s="30"/>
      <c r="G969" s="30"/>
      <c r="H969" s="30"/>
      <c r="I969" s="30"/>
      <c r="J969" s="30"/>
    </row>
    <row r="970" spans="1:10" ht="13.8">
      <c r="A970" s="30"/>
      <c r="B970" s="30"/>
      <c r="C970" s="10"/>
      <c r="D970" s="30"/>
      <c r="E970" s="30"/>
      <c r="F970" s="30"/>
      <c r="G970" s="30"/>
      <c r="H970" s="30"/>
      <c r="I970" s="30"/>
      <c r="J970" s="30"/>
    </row>
    <row r="971" spans="1:10" ht="13.8">
      <c r="A971" s="30"/>
      <c r="B971" s="30"/>
      <c r="C971" s="10"/>
      <c r="D971" s="30"/>
      <c r="E971" s="30"/>
      <c r="F971" s="30"/>
      <c r="G971" s="30"/>
      <c r="H971" s="30"/>
      <c r="I971" s="30"/>
      <c r="J971" s="30"/>
    </row>
    <row r="972" spans="1:10" ht="13.8">
      <c r="A972" s="30"/>
      <c r="B972" s="30"/>
      <c r="C972" s="10"/>
      <c r="D972" s="30"/>
      <c r="E972" s="30"/>
      <c r="F972" s="30"/>
      <c r="G972" s="30"/>
      <c r="H972" s="30"/>
      <c r="I972" s="30"/>
      <c r="J972" s="30"/>
    </row>
    <row r="973" spans="1:10" ht="13.8">
      <c r="A973" s="30"/>
      <c r="B973" s="30"/>
      <c r="C973" s="10"/>
      <c r="D973" s="30"/>
      <c r="E973" s="30"/>
      <c r="F973" s="30"/>
      <c r="G973" s="30"/>
      <c r="H973" s="30"/>
      <c r="I973" s="30"/>
      <c r="J973" s="30"/>
    </row>
    <row r="974" spans="1:10" ht="13.8">
      <c r="A974" s="30"/>
      <c r="B974" s="30"/>
      <c r="C974" s="10"/>
      <c r="D974" s="30"/>
      <c r="E974" s="30"/>
      <c r="F974" s="30"/>
      <c r="G974" s="30"/>
      <c r="H974" s="30"/>
      <c r="I974" s="30"/>
      <c r="J974" s="30"/>
    </row>
    <row r="975" spans="1:10" ht="13.8">
      <c r="A975" s="30"/>
      <c r="B975" s="30"/>
      <c r="C975" s="10"/>
      <c r="D975" s="30"/>
      <c r="E975" s="30"/>
      <c r="F975" s="30"/>
      <c r="G975" s="30"/>
      <c r="H975" s="30"/>
      <c r="I975" s="30"/>
      <c r="J975" s="30"/>
    </row>
    <row r="976" spans="1:10" ht="13.8">
      <c r="A976" s="30"/>
      <c r="B976" s="30"/>
      <c r="C976" s="10"/>
      <c r="D976" s="30"/>
      <c r="E976" s="30"/>
      <c r="F976" s="30"/>
      <c r="G976" s="30"/>
      <c r="H976" s="30"/>
      <c r="I976" s="30"/>
      <c r="J976" s="30"/>
    </row>
    <row r="977" spans="1:10" ht="13.8">
      <c r="A977" s="30"/>
      <c r="B977" s="30"/>
      <c r="C977" s="10"/>
      <c r="D977" s="30"/>
      <c r="E977" s="30"/>
      <c r="F977" s="30"/>
      <c r="G977" s="30"/>
      <c r="H977" s="30"/>
      <c r="I977" s="30"/>
      <c r="J977" s="30"/>
    </row>
    <row r="978" spans="1:10" ht="13.8">
      <c r="A978" s="30"/>
      <c r="B978" s="30"/>
      <c r="C978" s="10"/>
      <c r="D978" s="30"/>
      <c r="E978" s="30"/>
      <c r="F978" s="30"/>
      <c r="G978" s="30"/>
      <c r="H978" s="30"/>
      <c r="I978" s="30"/>
      <c r="J978" s="30"/>
    </row>
    <row r="979" spans="1:10" ht="13.8">
      <c r="A979" s="30"/>
      <c r="B979" s="30"/>
      <c r="C979" s="10"/>
      <c r="D979" s="30"/>
      <c r="E979" s="30"/>
      <c r="F979" s="30"/>
      <c r="G979" s="30"/>
      <c r="H979" s="30"/>
      <c r="I979" s="30"/>
      <c r="J979" s="30"/>
    </row>
    <row r="980" spans="1:10" ht="13.8">
      <c r="A980" s="30"/>
      <c r="B980" s="30"/>
      <c r="C980" s="10"/>
      <c r="D980" s="30"/>
      <c r="E980" s="30"/>
      <c r="F980" s="30"/>
      <c r="G980" s="30"/>
      <c r="H980" s="30"/>
      <c r="I980" s="30"/>
      <c r="J980" s="30"/>
    </row>
    <row r="981" spans="1:10" ht="13.8">
      <c r="A981" s="30"/>
      <c r="B981" s="30"/>
      <c r="C981" s="10"/>
      <c r="D981" s="30"/>
      <c r="E981" s="30"/>
      <c r="F981" s="30"/>
      <c r="G981" s="30"/>
      <c r="H981" s="30"/>
      <c r="I981" s="30"/>
      <c r="J981" s="30"/>
    </row>
    <row r="982" spans="1:10" ht="13.8">
      <c r="A982" s="30"/>
      <c r="B982" s="30"/>
      <c r="C982" s="10"/>
      <c r="D982" s="30"/>
      <c r="E982" s="30"/>
      <c r="F982" s="30"/>
      <c r="G982" s="30"/>
      <c r="H982" s="30"/>
      <c r="I982" s="30"/>
      <c r="J982" s="30"/>
    </row>
    <row r="983" spans="1:10" ht="13.8">
      <c r="A983" s="30"/>
      <c r="B983" s="30"/>
      <c r="C983" s="10"/>
      <c r="D983" s="30"/>
      <c r="E983" s="30"/>
      <c r="F983" s="30"/>
      <c r="G983" s="30"/>
      <c r="H983" s="30"/>
      <c r="I983" s="30"/>
      <c r="J983" s="30"/>
    </row>
    <row r="984" spans="1:10" ht="13.8">
      <c r="A984" s="30"/>
      <c r="B984" s="30"/>
      <c r="C984" s="10"/>
      <c r="D984" s="30"/>
      <c r="E984" s="30"/>
      <c r="F984" s="30"/>
      <c r="G984" s="30"/>
      <c r="H984" s="30"/>
      <c r="I984" s="30"/>
      <c r="J984" s="30"/>
    </row>
    <row r="985" spans="1:10" ht="13.8">
      <c r="A985" s="30"/>
      <c r="B985" s="30"/>
      <c r="C985" s="10"/>
      <c r="D985" s="30"/>
      <c r="E985" s="30"/>
      <c r="F985" s="30"/>
      <c r="G985" s="30"/>
      <c r="H985" s="30"/>
      <c r="I985" s="30"/>
      <c r="J985" s="30"/>
    </row>
    <row r="986" spans="1:10" ht="13.8">
      <c r="A986" s="30"/>
      <c r="B986" s="30"/>
      <c r="C986" s="10"/>
      <c r="D986" s="30"/>
      <c r="E986" s="30"/>
      <c r="F986" s="30"/>
      <c r="G986" s="30"/>
      <c r="H986" s="30"/>
      <c r="I986" s="30"/>
      <c r="J986" s="30"/>
    </row>
    <row r="987" spans="1:10" ht="13.8">
      <c r="A987" s="30"/>
      <c r="B987" s="30"/>
      <c r="C987" s="10"/>
      <c r="D987" s="30"/>
      <c r="E987" s="30"/>
      <c r="F987" s="30"/>
      <c r="G987" s="30"/>
      <c r="H987" s="30"/>
      <c r="I987" s="30"/>
      <c r="J987" s="30"/>
    </row>
    <row r="988" spans="1:10" ht="13.8">
      <c r="A988" s="30"/>
      <c r="B988" s="30"/>
      <c r="C988" s="10"/>
      <c r="D988" s="30"/>
      <c r="E988" s="30"/>
      <c r="F988" s="30"/>
      <c r="G988" s="30"/>
      <c r="H988" s="30"/>
      <c r="I988" s="30"/>
      <c r="J988" s="30"/>
    </row>
    <row r="989" spans="1:10" ht="13.8">
      <c r="A989" s="30"/>
      <c r="B989" s="30"/>
      <c r="C989" s="10"/>
      <c r="D989" s="30"/>
      <c r="E989" s="30"/>
      <c r="F989" s="30"/>
      <c r="G989" s="30"/>
      <c r="H989" s="30"/>
      <c r="I989" s="30"/>
      <c r="J989" s="30"/>
    </row>
    <row r="990" spans="1:10" ht="13.8">
      <c r="A990" s="30"/>
      <c r="B990" s="30"/>
      <c r="C990" s="10"/>
      <c r="D990" s="30"/>
      <c r="E990" s="30"/>
      <c r="F990" s="30"/>
      <c r="G990" s="30"/>
      <c r="H990" s="30"/>
      <c r="I990" s="30"/>
      <c r="J990" s="30"/>
    </row>
    <row r="991" spans="1:10" ht="13.8">
      <c r="A991" s="30"/>
      <c r="B991" s="30"/>
      <c r="C991" s="10"/>
      <c r="D991" s="30"/>
      <c r="E991" s="30"/>
      <c r="F991" s="30"/>
      <c r="G991" s="30"/>
      <c r="H991" s="30"/>
      <c r="I991" s="30"/>
      <c r="J991" s="30"/>
    </row>
    <row r="992" spans="1:10" ht="13.8">
      <c r="A992" s="30"/>
      <c r="B992" s="30"/>
      <c r="C992" s="10"/>
      <c r="D992" s="30"/>
      <c r="E992" s="30"/>
      <c r="F992" s="30"/>
      <c r="G992" s="30"/>
      <c r="H992" s="30"/>
      <c r="I992" s="30"/>
      <c r="J992" s="30"/>
    </row>
    <row r="993" spans="1:10" ht="13.8">
      <c r="A993" s="30"/>
      <c r="B993" s="30"/>
      <c r="C993" s="10"/>
      <c r="D993" s="30"/>
      <c r="E993" s="30"/>
      <c r="F993" s="30"/>
      <c r="G993" s="30"/>
      <c r="H993" s="30"/>
      <c r="I993" s="30"/>
      <c r="J993" s="30"/>
    </row>
    <row r="994" spans="1:10" ht="13.8">
      <c r="A994" s="30"/>
      <c r="B994" s="30"/>
      <c r="C994" s="10"/>
      <c r="D994" s="30"/>
      <c r="E994" s="30"/>
      <c r="F994" s="30"/>
      <c r="G994" s="30"/>
      <c r="H994" s="30"/>
      <c r="I994" s="30"/>
      <c r="J994" s="30"/>
    </row>
    <row r="995" spans="1:10" ht="13.8">
      <c r="A995" s="30"/>
      <c r="B995" s="30"/>
      <c r="C995" s="10"/>
      <c r="D995" s="30"/>
      <c r="E995" s="30"/>
      <c r="F995" s="30"/>
      <c r="G995" s="30"/>
      <c r="H995" s="30"/>
      <c r="I995" s="30"/>
      <c r="J995" s="30"/>
    </row>
    <row r="996" spans="1:10" ht="13.8">
      <c r="A996" s="30"/>
      <c r="B996" s="30"/>
      <c r="C996" s="10"/>
      <c r="D996" s="30"/>
      <c r="E996" s="30"/>
      <c r="F996" s="30"/>
      <c r="G996" s="30"/>
      <c r="H996" s="30"/>
      <c r="I996" s="30"/>
      <c r="J996" s="30"/>
    </row>
    <row r="997" spans="1:10" ht="13.8">
      <c r="A997" s="30"/>
      <c r="B997" s="30"/>
      <c r="C997" s="10"/>
      <c r="D997" s="30"/>
      <c r="E997" s="30"/>
      <c r="F997" s="30"/>
      <c r="G997" s="30"/>
      <c r="H997" s="30"/>
      <c r="I997" s="30"/>
      <c r="J997" s="30"/>
    </row>
    <row r="998" spans="1:10" ht="13.8">
      <c r="A998" s="30"/>
      <c r="B998" s="30"/>
      <c r="C998" s="10"/>
      <c r="D998" s="30"/>
      <c r="E998" s="30"/>
      <c r="F998" s="30"/>
      <c r="G998" s="30"/>
      <c r="H998" s="30"/>
      <c r="I998" s="30"/>
      <c r="J998" s="30"/>
    </row>
    <row r="999" spans="1:10" ht="13.8">
      <c r="A999" s="30"/>
      <c r="B999" s="30"/>
      <c r="C999" s="10"/>
      <c r="D999" s="30"/>
      <c r="E999" s="30"/>
      <c r="F999" s="30"/>
      <c r="G999" s="30"/>
      <c r="H999" s="30"/>
      <c r="I999" s="30"/>
      <c r="J999" s="30"/>
    </row>
    <row r="1000" spans="1:10" ht="13.8">
      <c r="A1000" s="30"/>
      <c r="B1000" s="30"/>
      <c r="C1000" s="10"/>
      <c r="D1000" s="30"/>
      <c r="E1000" s="30"/>
      <c r="F1000" s="30"/>
      <c r="G1000" s="30"/>
      <c r="H1000" s="30"/>
      <c r="I1000" s="30"/>
      <c r="J1000" s="30"/>
    </row>
    <row r="1001" spans="1:10" ht="13.8">
      <c r="A1001" s="30"/>
      <c r="B1001" s="30"/>
      <c r="C1001" s="10"/>
      <c r="D1001" s="30"/>
      <c r="E1001" s="30"/>
      <c r="F1001" s="30"/>
      <c r="G1001" s="30"/>
      <c r="H1001" s="30"/>
      <c r="I1001" s="30"/>
      <c r="J1001" s="30"/>
    </row>
    <row r="1002" spans="1:10" ht="13.8">
      <c r="A1002" s="30"/>
      <c r="B1002" s="30"/>
      <c r="C1002" s="10"/>
      <c r="D1002" s="30"/>
      <c r="E1002" s="30"/>
      <c r="F1002" s="30"/>
      <c r="G1002" s="30"/>
      <c r="H1002" s="30"/>
      <c r="I1002" s="30"/>
      <c r="J1002" s="30"/>
    </row>
    <row r="1003" spans="1:10" ht="13.8">
      <c r="A1003" s="30"/>
      <c r="B1003" s="30"/>
      <c r="C1003" s="10"/>
      <c r="D1003" s="30"/>
      <c r="E1003" s="30"/>
      <c r="F1003" s="30"/>
      <c r="G1003" s="30"/>
      <c r="H1003" s="30"/>
      <c r="I1003" s="30"/>
      <c r="J1003" s="30"/>
    </row>
    <row r="1004" spans="1:10" ht="13.8">
      <c r="A1004" s="30"/>
      <c r="B1004" s="30"/>
      <c r="C1004" s="10"/>
      <c r="D1004" s="30"/>
      <c r="E1004" s="30"/>
      <c r="F1004" s="30"/>
      <c r="G1004" s="30"/>
      <c r="H1004" s="30"/>
      <c r="I1004" s="30"/>
      <c r="J1004" s="30"/>
    </row>
    <row r="1005" spans="1:10" ht="13.8">
      <c r="A1005" s="30"/>
      <c r="B1005" s="30"/>
      <c r="C1005" s="10"/>
      <c r="D1005" s="30"/>
      <c r="E1005" s="30"/>
      <c r="F1005" s="30"/>
      <c r="G1005" s="30"/>
      <c r="H1005" s="30"/>
      <c r="I1005" s="30"/>
      <c r="J1005" s="30"/>
    </row>
    <row r="1006" spans="1:10" ht="13.8">
      <c r="A1006" s="30"/>
      <c r="B1006" s="30"/>
      <c r="C1006" s="10"/>
      <c r="D1006" s="30"/>
      <c r="E1006" s="30"/>
      <c r="F1006" s="30"/>
      <c r="G1006" s="30"/>
      <c r="H1006" s="30"/>
      <c r="I1006" s="30"/>
      <c r="J1006" s="30"/>
    </row>
    <row r="1007" spans="1:10" ht="13.8">
      <c r="A1007" s="30"/>
      <c r="B1007" s="30"/>
      <c r="C1007" s="10"/>
      <c r="D1007" s="30"/>
      <c r="E1007" s="30"/>
      <c r="F1007" s="30"/>
      <c r="G1007" s="30"/>
      <c r="H1007" s="30"/>
      <c r="I1007" s="30"/>
      <c r="J1007" s="30"/>
    </row>
    <row r="1008" spans="1:10" ht="13.8">
      <c r="A1008" s="30"/>
      <c r="B1008" s="30"/>
      <c r="C1008" s="10"/>
      <c r="D1008" s="30"/>
      <c r="E1008" s="30"/>
      <c r="F1008" s="30"/>
      <c r="G1008" s="30"/>
      <c r="H1008" s="30"/>
      <c r="I1008" s="30"/>
      <c r="J1008" s="30"/>
    </row>
    <row r="1009" spans="1:10" ht="13.8">
      <c r="A1009" s="30"/>
      <c r="B1009" s="30"/>
      <c r="C1009" s="10"/>
      <c r="D1009" s="30"/>
      <c r="E1009" s="30"/>
      <c r="F1009" s="30"/>
      <c r="G1009" s="30"/>
      <c r="H1009" s="30"/>
      <c r="I1009" s="30"/>
      <c r="J1009" s="30"/>
    </row>
    <row r="1010" spans="1:10" ht="13.8">
      <c r="A1010" s="30"/>
      <c r="B1010" s="30"/>
      <c r="C1010" s="10"/>
      <c r="D1010" s="30"/>
      <c r="E1010" s="30"/>
      <c r="F1010" s="30"/>
      <c r="G1010" s="30"/>
      <c r="H1010" s="30"/>
      <c r="I1010" s="30"/>
      <c r="J1010" s="30"/>
    </row>
    <row r="1011" spans="1:10" ht="13.8">
      <c r="A1011" s="30"/>
      <c r="B1011" s="30"/>
      <c r="C1011" s="10"/>
      <c r="D1011" s="30"/>
      <c r="E1011" s="30"/>
      <c r="F1011" s="30"/>
      <c r="G1011" s="30"/>
      <c r="H1011" s="30"/>
      <c r="I1011" s="30"/>
      <c r="J1011" s="30"/>
    </row>
    <row r="1012" spans="1:10" ht="13.8">
      <c r="A1012" s="30"/>
      <c r="B1012" s="30"/>
      <c r="C1012" s="10"/>
      <c r="D1012" s="30"/>
      <c r="E1012" s="30"/>
      <c r="F1012" s="30"/>
      <c r="G1012" s="30"/>
      <c r="H1012" s="30"/>
      <c r="I1012" s="30"/>
      <c r="J1012" s="30"/>
    </row>
    <row r="1013" spans="1:10" ht="13.8">
      <c r="A1013" s="30"/>
      <c r="B1013" s="30"/>
      <c r="C1013" s="10"/>
      <c r="D1013" s="30"/>
      <c r="E1013" s="30"/>
      <c r="F1013" s="30"/>
      <c r="G1013" s="30"/>
      <c r="H1013" s="30"/>
      <c r="I1013" s="30"/>
      <c r="J1013" s="30"/>
    </row>
    <row r="1014" spans="1:10" ht="13.8">
      <c r="A1014" s="30"/>
      <c r="B1014" s="30"/>
      <c r="C1014" s="10"/>
      <c r="D1014" s="30"/>
      <c r="E1014" s="30"/>
      <c r="F1014" s="30"/>
      <c r="G1014" s="30"/>
      <c r="H1014" s="30"/>
      <c r="I1014" s="30"/>
      <c r="J1014" s="30"/>
    </row>
    <row r="1015" spans="1:10" ht="13.8">
      <c r="A1015" s="30"/>
      <c r="B1015" s="30"/>
      <c r="C1015" s="10"/>
      <c r="D1015" s="30"/>
      <c r="E1015" s="30"/>
      <c r="F1015" s="30"/>
      <c r="G1015" s="30"/>
      <c r="H1015" s="30"/>
      <c r="I1015" s="30"/>
      <c r="J1015" s="30"/>
    </row>
    <row r="1016" spans="1:10" ht="13.8">
      <c r="A1016" s="30"/>
      <c r="B1016" s="30"/>
      <c r="C1016" s="10"/>
      <c r="D1016" s="30"/>
      <c r="E1016" s="30"/>
      <c r="F1016" s="30"/>
      <c r="G1016" s="30"/>
      <c r="H1016" s="30"/>
      <c r="I1016" s="30"/>
      <c r="J1016" s="30"/>
    </row>
    <row r="1017" spans="1:10" ht="13.8">
      <c r="A1017" s="30"/>
      <c r="B1017" s="30"/>
      <c r="C1017" s="10"/>
      <c r="D1017" s="30"/>
      <c r="E1017" s="30"/>
      <c r="F1017" s="30"/>
      <c r="G1017" s="30"/>
      <c r="H1017" s="30"/>
      <c r="I1017" s="30"/>
      <c r="J1017" s="30"/>
    </row>
    <row r="1018" spans="1:10" ht="13.8">
      <c r="A1018" s="30"/>
      <c r="B1018" s="30"/>
      <c r="C1018" s="10"/>
      <c r="D1018" s="30"/>
      <c r="E1018" s="30"/>
      <c r="F1018" s="30"/>
      <c r="G1018" s="30"/>
      <c r="H1018" s="30"/>
      <c r="I1018" s="30"/>
      <c r="J1018" s="30"/>
    </row>
    <row r="1019" spans="1:10" ht="13.8">
      <c r="A1019" s="30"/>
      <c r="B1019" s="30"/>
      <c r="C1019" s="10"/>
      <c r="D1019" s="30"/>
      <c r="E1019" s="30"/>
      <c r="F1019" s="30"/>
      <c r="G1019" s="30"/>
      <c r="H1019" s="30"/>
      <c r="I1019" s="30"/>
      <c r="J1019" s="30"/>
    </row>
    <row r="1020" spans="1:10" ht="13.8">
      <c r="A1020" s="30"/>
      <c r="B1020" s="30"/>
      <c r="C1020" s="10"/>
      <c r="D1020" s="30"/>
      <c r="E1020" s="30"/>
      <c r="F1020" s="30"/>
      <c r="G1020" s="30"/>
      <c r="H1020" s="30"/>
      <c r="I1020" s="30"/>
      <c r="J1020" s="30"/>
    </row>
    <row r="1021" spans="1:10" ht="13.8">
      <c r="A1021" s="30"/>
      <c r="B1021" s="30"/>
      <c r="C1021" s="10"/>
      <c r="D1021" s="30"/>
      <c r="E1021" s="30"/>
      <c r="F1021" s="30"/>
      <c r="G1021" s="30"/>
      <c r="H1021" s="30"/>
      <c r="I1021" s="30"/>
      <c r="J1021" s="30"/>
    </row>
    <row r="1022" spans="1:10" ht="13.8">
      <c r="A1022" s="30"/>
      <c r="B1022" s="30"/>
      <c r="C1022" s="10"/>
      <c r="D1022" s="30"/>
      <c r="E1022" s="30"/>
      <c r="F1022" s="30"/>
      <c r="G1022" s="30"/>
      <c r="H1022" s="30"/>
      <c r="I1022" s="30"/>
      <c r="J1022" s="30"/>
    </row>
    <row r="1023" spans="1:10" ht="13.8">
      <c r="A1023" s="30"/>
      <c r="B1023" s="30"/>
      <c r="C1023" s="10"/>
      <c r="D1023" s="30"/>
      <c r="E1023" s="30"/>
      <c r="F1023" s="30"/>
      <c r="G1023" s="30"/>
      <c r="H1023" s="30"/>
      <c r="I1023" s="30"/>
      <c r="J1023" s="30"/>
    </row>
    <row r="1024" spans="1:10" ht="13.8">
      <c r="A1024" s="30"/>
      <c r="B1024" s="30"/>
      <c r="C1024" s="10"/>
      <c r="D1024" s="30"/>
      <c r="E1024" s="30"/>
      <c r="F1024" s="30"/>
      <c r="G1024" s="30"/>
      <c r="H1024" s="30"/>
      <c r="I1024" s="30"/>
      <c r="J1024" s="30"/>
    </row>
    <row r="1025" spans="1:10" ht="13.8">
      <c r="A1025" s="30"/>
      <c r="B1025" s="30"/>
      <c r="C1025" s="10"/>
      <c r="D1025" s="30"/>
      <c r="E1025" s="30"/>
      <c r="F1025" s="30"/>
      <c r="G1025" s="30"/>
      <c r="H1025" s="30"/>
      <c r="I1025" s="30"/>
      <c r="J1025" s="30"/>
    </row>
    <row r="1026" spans="1:10" ht="13.8">
      <c r="A1026" s="30"/>
      <c r="B1026" s="30"/>
      <c r="C1026" s="10"/>
      <c r="D1026" s="30"/>
      <c r="E1026" s="30"/>
      <c r="F1026" s="30"/>
      <c r="G1026" s="30"/>
      <c r="H1026" s="30"/>
      <c r="I1026" s="30"/>
      <c r="J1026" s="30"/>
    </row>
    <row r="1027" spans="1:10" ht="13.8">
      <c r="A1027" s="30"/>
      <c r="B1027" s="30"/>
      <c r="C1027" s="10"/>
      <c r="D1027" s="30"/>
      <c r="E1027" s="30"/>
      <c r="F1027" s="30"/>
      <c r="G1027" s="30"/>
      <c r="H1027" s="30"/>
      <c r="I1027" s="30"/>
      <c r="J1027" s="30"/>
    </row>
    <row r="1028" spans="1:10" ht="13.8">
      <c r="A1028" s="30"/>
      <c r="B1028" s="30"/>
      <c r="C1028" s="10"/>
      <c r="D1028" s="30"/>
      <c r="E1028" s="30"/>
      <c r="F1028" s="30"/>
      <c r="G1028" s="30"/>
      <c r="H1028" s="30"/>
      <c r="I1028" s="30"/>
      <c r="J1028" s="30"/>
    </row>
    <row r="1029" spans="1:10" ht="13.8">
      <c r="A1029" s="30"/>
      <c r="B1029" s="30"/>
      <c r="C1029" s="10"/>
      <c r="D1029" s="30"/>
      <c r="E1029" s="30"/>
      <c r="F1029" s="30"/>
      <c r="G1029" s="30"/>
      <c r="H1029" s="30"/>
      <c r="I1029" s="30"/>
      <c r="J1029" s="30"/>
    </row>
    <row r="1030" spans="1:10" ht="13.8">
      <c r="A1030" s="30"/>
      <c r="B1030" s="30"/>
      <c r="C1030" s="10"/>
      <c r="D1030" s="30"/>
      <c r="E1030" s="30"/>
      <c r="F1030" s="30"/>
      <c r="G1030" s="30"/>
      <c r="H1030" s="30"/>
      <c r="I1030" s="30"/>
      <c r="J1030" s="30"/>
    </row>
    <row r="1031" spans="1:10" ht="13.8">
      <c r="A1031" s="30"/>
      <c r="B1031" s="30"/>
      <c r="C1031" s="10"/>
      <c r="D1031" s="30"/>
      <c r="E1031" s="30"/>
      <c r="F1031" s="30"/>
      <c r="G1031" s="30"/>
      <c r="H1031" s="30"/>
      <c r="I1031" s="30"/>
      <c r="J1031" s="30"/>
    </row>
    <row r="1032" spans="1:10" ht="13.8">
      <c r="A1032" s="30"/>
      <c r="B1032" s="30"/>
      <c r="C1032" s="10"/>
      <c r="D1032" s="30"/>
      <c r="E1032" s="30"/>
      <c r="F1032" s="30"/>
      <c r="G1032" s="30"/>
      <c r="H1032" s="30"/>
      <c r="I1032" s="30"/>
      <c r="J1032" s="30"/>
    </row>
    <row r="1033" spans="1:10" ht="13.8">
      <c r="A1033" s="30"/>
      <c r="B1033" s="30"/>
      <c r="C1033" s="10"/>
      <c r="D1033" s="30"/>
      <c r="E1033" s="30"/>
      <c r="F1033" s="30"/>
      <c r="G1033" s="30"/>
      <c r="H1033" s="30"/>
      <c r="I1033" s="30"/>
      <c r="J1033" s="30"/>
    </row>
    <row r="1034" spans="1:10" ht="13.8">
      <c r="A1034" s="30"/>
      <c r="B1034" s="30"/>
      <c r="C1034" s="10"/>
      <c r="D1034" s="30"/>
      <c r="E1034" s="30"/>
      <c r="F1034" s="30"/>
      <c r="G1034" s="30"/>
      <c r="H1034" s="30"/>
      <c r="I1034" s="30"/>
      <c r="J1034" s="30"/>
    </row>
    <row r="1035" spans="1:10" ht="13.8">
      <c r="A1035" s="30"/>
      <c r="B1035" s="30"/>
      <c r="C1035" s="10"/>
      <c r="D1035" s="30"/>
      <c r="E1035" s="30"/>
      <c r="F1035" s="30"/>
      <c r="G1035" s="30"/>
      <c r="H1035" s="30"/>
      <c r="I1035" s="30"/>
      <c r="J1035" s="30"/>
    </row>
    <row r="1036" spans="1:10" ht="13.8">
      <c r="A1036" s="30"/>
      <c r="B1036" s="30"/>
      <c r="C1036" s="10"/>
      <c r="D1036" s="30"/>
      <c r="E1036" s="30"/>
      <c r="F1036" s="30"/>
      <c r="G1036" s="30"/>
      <c r="H1036" s="30"/>
      <c r="I1036" s="30"/>
      <c r="J1036" s="30"/>
    </row>
    <row r="1037" spans="1:10" ht="13.8">
      <c r="A1037" s="30"/>
      <c r="B1037" s="30"/>
      <c r="C1037" s="10"/>
      <c r="D1037" s="30"/>
      <c r="E1037" s="30"/>
      <c r="F1037" s="30"/>
      <c r="G1037" s="30"/>
      <c r="H1037" s="30"/>
      <c r="I1037" s="30"/>
      <c r="J1037" s="30"/>
    </row>
    <row r="1038" spans="1:10" ht="13.8">
      <c r="A1038" s="30"/>
      <c r="B1038" s="30"/>
      <c r="C1038" s="10"/>
      <c r="D1038" s="30"/>
      <c r="E1038" s="30"/>
      <c r="F1038" s="30"/>
      <c r="G1038" s="30"/>
      <c r="H1038" s="30"/>
      <c r="I1038" s="30"/>
      <c r="J1038" s="30"/>
    </row>
    <row r="1039" spans="1:10" ht="13.8">
      <c r="A1039" s="30"/>
      <c r="B1039" s="30"/>
      <c r="C1039" s="10"/>
      <c r="D1039" s="30"/>
      <c r="E1039" s="30"/>
      <c r="F1039" s="30"/>
      <c r="G1039" s="30"/>
      <c r="H1039" s="30"/>
      <c r="I1039" s="30"/>
      <c r="J1039" s="30"/>
    </row>
    <row r="1040" spans="1:10" ht="13.8">
      <c r="A1040" s="30"/>
      <c r="B1040" s="30"/>
      <c r="C1040" s="10"/>
      <c r="D1040" s="30"/>
      <c r="E1040" s="30"/>
      <c r="F1040" s="30"/>
      <c r="G1040" s="30"/>
      <c r="H1040" s="30"/>
      <c r="I1040" s="30"/>
      <c r="J1040" s="30"/>
    </row>
    <row r="1041" spans="1:10" ht="13.8">
      <c r="A1041" s="30"/>
      <c r="B1041" s="30"/>
      <c r="C1041" s="10"/>
      <c r="D1041" s="30"/>
      <c r="E1041" s="30"/>
      <c r="F1041" s="30"/>
      <c r="G1041" s="30"/>
      <c r="H1041" s="30"/>
      <c r="I1041" s="30"/>
      <c r="J1041" s="30"/>
    </row>
    <row r="1042" spans="1:10" ht="13.8">
      <c r="A1042" s="30"/>
      <c r="B1042" s="30"/>
      <c r="C1042" s="10"/>
      <c r="D1042" s="30"/>
      <c r="E1042" s="30"/>
      <c r="F1042" s="30"/>
      <c r="G1042" s="30"/>
      <c r="H1042" s="30"/>
      <c r="I1042" s="30"/>
      <c r="J1042" s="30"/>
    </row>
    <row r="1043" spans="1:10" ht="13.8">
      <c r="A1043" s="30"/>
      <c r="B1043" s="30"/>
      <c r="C1043" s="10"/>
      <c r="D1043" s="30"/>
      <c r="E1043" s="30"/>
      <c r="F1043" s="30"/>
      <c r="G1043" s="30"/>
      <c r="H1043" s="30"/>
      <c r="I1043" s="30"/>
      <c r="J1043" s="30"/>
    </row>
    <row r="1044" spans="1:10" ht="13.8">
      <c r="A1044" s="30"/>
      <c r="B1044" s="30"/>
      <c r="C1044" s="10"/>
      <c r="D1044" s="30"/>
      <c r="E1044" s="30"/>
      <c r="F1044" s="30"/>
      <c r="G1044" s="30"/>
      <c r="H1044" s="30"/>
      <c r="I1044" s="30"/>
      <c r="J1044" s="30"/>
    </row>
    <row r="1045" spans="1:10" ht="13.8">
      <c r="A1045" s="30"/>
      <c r="B1045" s="30"/>
      <c r="C1045" s="10"/>
      <c r="D1045" s="30"/>
      <c r="E1045" s="30"/>
      <c r="F1045" s="30"/>
      <c r="G1045" s="30"/>
      <c r="H1045" s="30"/>
      <c r="I1045" s="30"/>
      <c r="J1045" s="30"/>
    </row>
    <row r="1046" spans="1:10" ht="13.8">
      <c r="A1046" s="30"/>
      <c r="B1046" s="30"/>
      <c r="C1046" s="10"/>
      <c r="D1046" s="30"/>
      <c r="E1046" s="30"/>
      <c r="F1046" s="30"/>
      <c r="G1046" s="30"/>
      <c r="H1046" s="30"/>
      <c r="I1046" s="30"/>
      <c r="J1046" s="30"/>
    </row>
    <row r="1047" spans="1:10" ht="13.8">
      <c r="A1047" s="30"/>
      <c r="B1047" s="30"/>
      <c r="C1047" s="10"/>
      <c r="D1047" s="30"/>
      <c r="E1047" s="30"/>
      <c r="F1047" s="30"/>
      <c r="G1047" s="30"/>
      <c r="H1047" s="30"/>
      <c r="I1047" s="30"/>
      <c r="J1047" s="30"/>
    </row>
    <row r="1048" spans="1:10" ht="13.8">
      <c r="A1048" s="30"/>
      <c r="B1048" s="30"/>
      <c r="C1048" s="10"/>
      <c r="D1048" s="30"/>
      <c r="E1048" s="30"/>
      <c r="F1048" s="30"/>
      <c r="G1048" s="30"/>
      <c r="H1048" s="30"/>
      <c r="I1048" s="30"/>
      <c r="J1048" s="30"/>
    </row>
    <row r="1049" spans="1:10" ht="13.8">
      <c r="A1049" s="30"/>
      <c r="B1049" s="30"/>
      <c r="C1049" s="10"/>
      <c r="D1049" s="30"/>
      <c r="E1049" s="30"/>
      <c r="F1049" s="30"/>
      <c r="G1049" s="30"/>
      <c r="H1049" s="30"/>
      <c r="I1049" s="30"/>
      <c r="J1049" s="30"/>
    </row>
    <row r="1050" spans="1:10" ht="13.8">
      <c r="A1050" s="30"/>
      <c r="B1050" s="30"/>
      <c r="C1050" s="10"/>
      <c r="D1050" s="30"/>
      <c r="E1050" s="30"/>
      <c r="F1050" s="30"/>
      <c r="G1050" s="30"/>
      <c r="H1050" s="30"/>
      <c r="I1050" s="30"/>
      <c r="J1050" s="30"/>
    </row>
    <row r="1051" spans="1:10" ht="13.8">
      <c r="A1051" s="30"/>
      <c r="B1051" s="30"/>
      <c r="C1051" s="10"/>
      <c r="D1051" s="30"/>
      <c r="E1051" s="30"/>
      <c r="F1051" s="30"/>
      <c r="G1051" s="30"/>
      <c r="H1051" s="30"/>
      <c r="I1051" s="30"/>
      <c r="J1051" s="30"/>
    </row>
    <row r="1052" spans="1:10" ht="13.8">
      <c r="A1052" s="30"/>
      <c r="B1052" s="30"/>
      <c r="C1052" s="10"/>
      <c r="D1052" s="30"/>
      <c r="E1052" s="30"/>
      <c r="F1052" s="30"/>
      <c r="G1052" s="30"/>
      <c r="H1052" s="30"/>
      <c r="I1052" s="30"/>
      <c r="J1052" s="30"/>
    </row>
    <row r="1053" spans="1:10" ht="13.8">
      <c r="A1053" s="30"/>
      <c r="B1053" s="30"/>
      <c r="C1053" s="10"/>
      <c r="D1053" s="30"/>
      <c r="E1053" s="30"/>
      <c r="F1053" s="30"/>
      <c r="G1053" s="30"/>
      <c r="H1053" s="30"/>
      <c r="I1053" s="30"/>
      <c r="J1053" s="30"/>
    </row>
    <row r="1054" spans="1:10" ht="13.8">
      <c r="A1054" s="30"/>
      <c r="B1054" s="30"/>
      <c r="C1054" s="10"/>
      <c r="D1054" s="30"/>
      <c r="E1054" s="30"/>
      <c r="F1054" s="30"/>
      <c r="G1054" s="30"/>
      <c r="H1054" s="30"/>
      <c r="I1054" s="30"/>
      <c r="J1054" s="30"/>
    </row>
    <row r="1055" spans="1:10" ht="13.8">
      <c r="A1055" s="30"/>
      <c r="B1055" s="30"/>
      <c r="C1055" s="10"/>
      <c r="D1055" s="30"/>
      <c r="E1055" s="30"/>
      <c r="F1055" s="30"/>
      <c r="G1055" s="30"/>
      <c r="H1055" s="30"/>
      <c r="I1055" s="30"/>
      <c r="J1055" s="30"/>
    </row>
    <row r="1056" spans="1:10" ht="13.8">
      <c r="A1056" s="30"/>
      <c r="B1056" s="30"/>
      <c r="C1056" s="10"/>
      <c r="D1056" s="30"/>
      <c r="E1056" s="30"/>
      <c r="F1056" s="30"/>
      <c r="G1056" s="30"/>
      <c r="H1056" s="30"/>
      <c r="I1056" s="30"/>
      <c r="J1056" s="30"/>
    </row>
    <row r="1057" spans="1:10" ht="13.8">
      <c r="A1057" s="30"/>
      <c r="B1057" s="30"/>
      <c r="C1057" s="10"/>
      <c r="D1057" s="30"/>
      <c r="E1057" s="30"/>
      <c r="F1057" s="30"/>
      <c r="G1057" s="30"/>
      <c r="H1057" s="30"/>
      <c r="I1057" s="30"/>
      <c r="J1057" s="30"/>
    </row>
    <row r="1058" spans="1:10" ht="13.8">
      <c r="A1058" s="30"/>
      <c r="B1058" s="30"/>
      <c r="C1058" s="10"/>
      <c r="D1058" s="30"/>
      <c r="E1058" s="30"/>
      <c r="F1058" s="30"/>
      <c r="G1058" s="30"/>
      <c r="H1058" s="30"/>
      <c r="I1058" s="30"/>
      <c r="J1058" s="30"/>
    </row>
    <row r="1059" spans="1:10" ht="13.8">
      <c r="A1059" s="30"/>
      <c r="B1059" s="30"/>
      <c r="C1059" s="10"/>
      <c r="D1059" s="30"/>
      <c r="E1059" s="30"/>
      <c r="F1059" s="30"/>
      <c r="G1059" s="30"/>
      <c r="H1059" s="30"/>
      <c r="I1059" s="30"/>
      <c r="J1059" s="30"/>
    </row>
    <row r="1060" spans="1:10" ht="13.8">
      <c r="A1060" s="30"/>
      <c r="B1060" s="30"/>
      <c r="C1060" s="10"/>
      <c r="D1060" s="30"/>
      <c r="E1060" s="30"/>
      <c r="F1060" s="30"/>
      <c r="G1060" s="30"/>
      <c r="H1060" s="30"/>
      <c r="I1060" s="30"/>
      <c r="J1060" s="30"/>
    </row>
    <row r="1061" spans="1:10" ht="13.8">
      <c r="A1061" s="30"/>
      <c r="B1061" s="30"/>
      <c r="C1061" s="10"/>
      <c r="D1061" s="30"/>
      <c r="E1061" s="30"/>
      <c r="F1061" s="30"/>
      <c r="G1061" s="30"/>
      <c r="H1061" s="30"/>
      <c r="I1061" s="30"/>
      <c r="J1061" s="30"/>
    </row>
    <row r="1062" spans="1:10" ht="13.8">
      <c r="A1062" s="30"/>
      <c r="B1062" s="30"/>
      <c r="C1062" s="10"/>
      <c r="D1062" s="30"/>
      <c r="E1062" s="30"/>
      <c r="F1062" s="30"/>
      <c r="G1062" s="30"/>
      <c r="H1062" s="30"/>
      <c r="I1062" s="30"/>
      <c r="J1062" s="30"/>
    </row>
    <row r="1063" spans="1:10" ht="13.8">
      <c r="A1063" s="30"/>
      <c r="B1063" s="30"/>
      <c r="C1063" s="10"/>
      <c r="D1063" s="30"/>
      <c r="E1063" s="30"/>
      <c r="F1063" s="30"/>
      <c r="G1063" s="30"/>
      <c r="H1063" s="30"/>
      <c r="I1063" s="30"/>
      <c r="J1063" s="30"/>
    </row>
    <row r="1064" spans="1:10" ht="13.8">
      <c r="A1064" s="30"/>
      <c r="B1064" s="30"/>
      <c r="C1064" s="10"/>
      <c r="D1064" s="30"/>
      <c r="E1064" s="30"/>
      <c r="F1064" s="30"/>
      <c r="G1064" s="30"/>
      <c r="H1064" s="30"/>
      <c r="I1064" s="30"/>
      <c r="J1064" s="30"/>
    </row>
    <row r="1065" spans="1:10" ht="13.8">
      <c r="A1065" s="30"/>
      <c r="B1065" s="30"/>
      <c r="C1065" s="10"/>
      <c r="D1065" s="30"/>
      <c r="E1065" s="30"/>
      <c r="F1065" s="30"/>
      <c r="G1065" s="30"/>
      <c r="H1065" s="30"/>
      <c r="I1065" s="30"/>
      <c r="J1065" s="30"/>
    </row>
    <row r="1066" spans="1:10" ht="13.8">
      <c r="A1066" s="30"/>
      <c r="B1066" s="30"/>
      <c r="C1066" s="10"/>
      <c r="D1066" s="30"/>
      <c r="E1066" s="30"/>
      <c r="F1066" s="30"/>
      <c r="G1066" s="30"/>
      <c r="H1066" s="30"/>
      <c r="I1066" s="30"/>
      <c r="J1066" s="30"/>
    </row>
    <row r="1067" spans="1:10" ht="13.8">
      <c r="A1067" s="30"/>
      <c r="B1067" s="30"/>
      <c r="C1067" s="10"/>
      <c r="D1067" s="30"/>
      <c r="E1067" s="30"/>
      <c r="F1067" s="30"/>
      <c r="G1067" s="30"/>
      <c r="H1067" s="30"/>
      <c r="I1067" s="30"/>
      <c r="J1067" s="30"/>
    </row>
    <row r="1068" spans="1:10" ht="13.8">
      <c r="A1068" s="30"/>
      <c r="B1068" s="30"/>
      <c r="C1068" s="10"/>
      <c r="D1068" s="30"/>
      <c r="E1068" s="30"/>
      <c r="F1068" s="30"/>
      <c r="G1068" s="30"/>
      <c r="H1068" s="30"/>
      <c r="I1068" s="30"/>
      <c r="J1068" s="30"/>
    </row>
    <row r="1069" spans="1:10" ht="13.8">
      <c r="A1069" s="30"/>
      <c r="B1069" s="30"/>
      <c r="C1069" s="10"/>
      <c r="D1069" s="30"/>
      <c r="E1069" s="30"/>
      <c r="F1069" s="30"/>
      <c r="G1069" s="30"/>
      <c r="H1069" s="30"/>
      <c r="I1069" s="30"/>
      <c r="J1069" s="30"/>
    </row>
    <row r="1070" spans="1:10" ht="13.8">
      <c r="A1070" s="30"/>
      <c r="B1070" s="30"/>
      <c r="C1070" s="10"/>
      <c r="D1070" s="30"/>
      <c r="E1070" s="30"/>
      <c r="F1070" s="30"/>
      <c r="G1070" s="30"/>
      <c r="H1070" s="30"/>
      <c r="I1070" s="30"/>
      <c r="J1070" s="30"/>
    </row>
    <row r="1071" spans="1:10" ht="13.8">
      <c r="A1071" s="30"/>
      <c r="B1071" s="30"/>
      <c r="C1071" s="10"/>
      <c r="D1071" s="30"/>
      <c r="E1071" s="30"/>
      <c r="F1071" s="30"/>
      <c r="G1071" s="30"/>
      <c r="H1071" s="30"/>
      <c r="I1071" s="30"/>
      <c r="J1071" s="30"/>
    </row>
    <row r="1072" spans="1:10" ht="13.8">
      <c r="A1072" s="30"/>
      <c r="B1072" s="30"/>
      <c r="C1072" s="10"/>
      <c r="D1072" s="30"/>
      <c r="E1072" s="30"/>
      <c r="F1072" s="30"/>
      <c r="G1072" s="30"/>
      <c r="H1072" s="30"/>
      <c r="I1072" s="30"/>
      <c r="J1072" s="30"/>
    </row>
    <row r="1073" spans="1:10" ht="13.8">
      <c r="A1073" s="30"/>
      <c r="B1073" s="30"/>
      <c r="C1073" s="10"/>
      <c r="D1073" s="30"/>
      <c r="E1073" s="30"/>
      <c r="F1073" s="30"/>
      <c r="G1073" s="30"/>
      <c r="H1073" s="30"/>
      <c r="I1073" s="30"/>
      <c r="J1073" s="30"/>
    </row>
    <row r="1074" spans="1:10" ht="13.8">
      <c r="A1074" s="30"/>
      <c r="B1074" s="30"/>
      <c r="C1074" s="10"/>
      <c r="D1074" s="30"/>
      <c r="E1074" s="30"/>
      <c r="F1074" s="30"/>
      <c r="G1074" s="30"/>
      <c r="H1074" s="30"/>
      <c r="I1074" s="30"/>
      <c r="J1074" s="30"/>
    </row>
    <row r="1075" spans="1:10" ht="13.8">
      <c r="A1075" s="30"/>
      <c r="B1075" s="30"/>
      <c r="C1075" s="10"/>
      <c r="D1075" s="30"/>
      <c r="E1075" s="30"/>
      <c r="F1075" s="30"/>
      <c r="G1075" s="30"/>
      <c r="H1075" s="30"/>
      <c r="I1075" s="30"/>
      <c r="J1075" s="30"/>
    </row>
    <row r="1076" spans="1:10" ht="13.8">
      <c r="A1076" s="30"/>
      <c r="B1076" s="30"/>
      <c r="C1076" s="10"/>
      <c r="D1076" s="30"/>
      <c r="E1076" s="30"/>
      <c r="F1076" s="30"/>
      <c r="G1076" s="30"/>
      <c r="H1076" s="30"/>
      <c r="I1076" s="30"/>
      <c r="J1076" s="30"/>
    </row>
    <row r="1077" spans="1:10" ht="13.8">
      <c r="A1077" s="30"/>
      <c r="B1077" s="30"/>
      <c r="C1077" s="10"/>
      <c r="D1077" s="30"/>
      <c r="E1077" s="30"/>
      <c r="F1077" s="30"/>
      <c r="G1077" s="30"/>
      <c r="H1077" s="30"/>
      <c r="I1077" s="30"/>
      <c r="J1077" s="30"/>
    </row>
    <row r="1078" spans="1:10" ht="13.8">
      <c r="A1078" s="30"/>
      <c r="B1078" s="30"/>
      <c r="C1078" s="10"/>
      <c r="D1078" s="30"/>
      <c r="E1078" s="30"/>
      <c r="F1078" s="30"/>
      <c r="G1078" s="30"/>
      <c r="H1078" s="30"/>
      <c r="I1078" s="30"/>
      <c r="J1078" s="30"/>
    </row>
    <row r="1079" spans="1:10" ht="13.8">
      <c r="A1079" s="30"/>
      <c r="B1079" s="30"/>
      <c r="C1079" s="10"/>
      <c r="D1079" s="30"/>
      <c r="E1079" s="30"/>
      <c r="F1079" s="30"/>
      <c r="G1079" s="30"/>
      <c r="H1079" s="30"/>
      <c r="I1079" s="30"/>
      <c r="J1079" s="30"/>
    </row>
    <row r="1080" spans="1:10" ht="13.8">
      <c r="A1080" s="30"/>
      <c r="B1080" s="30"/>
      <c r="C1080" s="10"/>
      <c r="D1080" s="30"/>
      <c r="E1080" s="30"/>
      <c r="F1080" s="30"/>
      <c r="G1080" s="30"/>
      <c r="H1080" s="30"/>
      <c r="I1080" s="30"/>
      <c r="J1080" s="30"/>
    </row>
    <row r="1081" spans="1:10" ht="13.8">
      <c r="A1081" s="30"/>
      <c r="B1081" s="30"/>
      <c r="C1081" s="10"/>
      <c r="D1081" s="30"/>
      <c r="E1081" s="30"/>
      <c r="F1081" s="30"/>
      <c r="G1081" s="30"/>
      <c r="H1081" s="30"/>
      <c r="I1081" s="30"/>
      <c r="J1081" s="30"/>
    </row>
    <row r="1082" spans="1:10" ht="13.8">
      <c r="A1082" s="30"/>
      <c r="B1082" s="30"/>
      <c r="C1082" s="10"/>
      <c r="D1082" s="30"/>
      <c r="E1082" s="30"/>
      <c r="F1082" s="30"/>
      <c r="G1082" s="30"/>
      <c r="H1082" s="30"/>
      <c r="I1082" s="30"/>
      <c r="J1082" s="30"/>
    </row>
    <row r="1083" spans="1:10" ht="13.8">
      <c r="A1083" s="30"/>
      <c r="B1083" s="30"/>
      <c r="C1083" s="10"/>
      <c r="D1083" s="30"/>
      <c r="E1083" s="30"/>
      <c r="F1083" s="30"/>
      <c r="G1083" s="30"/>
      <c r="H1083" s="30"/>
      <c r="I1083" s="30"/>
      <c r="J1083" s="30"/>
    </row>
    <row r="1084" spans="1:10" ht="13.8">
      <c r="A1084" s="30"/>
      <c r="B1084" s="30"/>
      <c r="C1084" s="10"/>
      <c r="D1084" s="30"/>
      <c r="E1084" s="30"/>
      <c r="F1084" s="30"/>
      <c r="G1084" s="30"/>
      <c r="H1084" s="30"/>
      <c r="I1084" s="30"/>
      <c r="J1084" s="30"/>
    </row>
    <row r="1085" spans="1:10" ht="13.8">
      <c r="A1085" s="30"/>
      <c r="B1085" s="30"/>
      <c r="C1085" s="10"/>
      <c r="D1085" s="30"/>
      <c r="E1085" s="30"/>
      <c r="F1085" s="30"/>
      <c r="G1085" s="30"/>
      <c r="H1085" s="30"/>
      <c r="I1085" s="30"/>
      <c r="J1085" s="30"/>
    </row>
    <row r="1086" spans="1:10" ht="13.8">
      <c r="A1086" s="30"/>
      <c r="B1086" s="30"/>
      <c r="C1086" s="10"/>
      <c r="D1086" s="30"/>
      <c r="E1086" s="30"/>
      <c r="F1086" s="30"/>
      <c r="G1086" s="30"/>
      <c r="H1086" s="30"/>
      <c r="I1086" s="30"/>
      <c r="J1086" s="30"/>
    </row>
    <row r="1087" spans="1:10" ht="13.8">
      <c r="A1087" s="30"/>
      <c r="B1087" s="30"/>
      <c r="C1087" s="10"/>
      <c r="D1087" s="30"/>
      <c r="E1087" s="30"/>
      <c r="F1087" s="30"/>
      <c r="G1087" s="30"/>
      <c r="H1087" s="30"/>
      <c r="I1087" s="30"/>
      <c r="J1087" s="30"/>
    </row>
    <row r="1088" spans="1:10" ht="13.8">
      <c r="A1088" s="30"/>
      <c r="B1088" s="30"/>
      <c r="C1088" s="10"/>
      <c r="D1088" s="30"/>
      <c r="E1088" s="30"/>
      <c r="F1088" s="30"/>
      <c r="G1088" s="30"/>
      <c r="H1088" s="30"/>
      <c r="I1088" s="30"/>
      <c r="J1088" s="30"/>
    </row>
    <row r="1089" spans="1:10" ht="13.8">
      <c r="A1089" s="30"/>
      <c r="B1089" s="30"/>
      <c r="C1089" s="10"/>
      <c r="D1089" s="30"/>
      <c r="E1089" s="30"/>
      <c r="F1089" s="30"/>
      <c r="G1089" s="30"/>
      <c r="H1089" s="30"/>
      <c r="I1089" s="30"/>
      <c r="J1089" s="30"/>
    </row>
    <row r="1090" spans="1:10" ht="13.8">
      <c r="A1090" s="30"/>
      <c r="B1090" s="30"/>
      <c r="C1090" s="10"/>
      <c r="D1090" s="30"/>
      <c r="E1090" s="30"/>
      <c r="F1090" s="30"/>
      <c r="G1090" s="30"/>
      <c r="H1090" s="30"/>
      <c r="I1090" s="30"/>
      <c r="J1090" s="30"/>
    </row>
  </sheetData>
  <mergeCells count="10">
    <mergeCell ref="A1:C1"/>
    <mergeCell ref="A20:C20"/>
    <mergeCell ref="A19:C19"/>
    <mergeCell ref="A12:B12"/>
    <mergeCell ref="A11:B11"/>
    <mergeCell ref="A2:C2"/>
    <mergeCell ref="A7:B8"/>
    <mergeCell ref="A9:B9"/>
    <mergeCell ref="A4:C5"/>
    <mergeCell ref="A10:B10"/>
  </mergeCells>
  <printOptions horizontalCentered="1"/>
  <pageMargins left="0.25" right="0.25" top="0.75" bottom="0.75" header="0.3" footer="0.3"/>
  <pageSetup paperSize="9" scale="99" fitToHeight="0" orientation="portrait" r:id="rId1"/>
  <headerFooter alignWithMargins="0"/>
  <rowBreaks count="7" manualBreakCount="7">
    <brk id="68" max="16383" man="1"/>
    <brk id="138" max="16383" man="1"/>
    <brk id="205" max="16383" man="1"/>
    <brk id="261" max="16383" man="1"/>
    <brk id="574" max="16383" man="1"/>
    <brk id="861" max="16383" man="1"/>
    <brk id="97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pageSetUpPr fitToPage="1"/>
  </sheetPr>
  <dimension ref="A1:L68"/>
  <sheetViews>
    <sheetView showGridLines="0" view="pageBreakPreview" topLeftCell="D1" zoomScale="72" zoomScaleNormal="100" zoomScaleSheetLayoutView="100" workbookViewId="0">
      <pane ySplit="7" topLeftCell="A8" activePane="bottomLeft" state="frozen"/>
      <selection pane="bottomLeft" activeCell="H14" sqref="H14"/>
    </sheetView>
  </sheetViews>
  <sheetFormatPr defaultColWidth="9.109375" defaultRowHeight="13.8"/>
  <cols>
    <col min="1" max="1" width="2" style="23" customWidth="1"/>
    <col min="2" max="4" width="4.44140625" style="24" customWidth="1"/>
    <col min="5" max="5" width="84" style="25" customWidth="1"/>
    <col min="6" max="6" width="12.33203125" style="28" customWidth="1"/>
    <col min="7" max="7" width="16.6640625" style="29" customWidth="1"/>
    <col min="8" max="8" width="38.109375" style="29" customWidth="1"/>
    <col min="9" max="9" width="18.33203125" style="29" customWidth="1"/>
    <col min="10" max="11" width="16" style="26" customWidth="1"/>
    <col min="12" max="12" width="20.88671875" style="27" customWidth="1"/>
    <col min="13" max="13" width="2" style="23" customWidth="1"/>
    <col min="14" max="16384" width="9.109375" style="23"/>
  </cols>
  <sheetData>
    <row r="1" spans="1:12" ht="27" customHeight="1" thickBot="1">
      <c r="B1" s="275" t="s">
        <v>271</v>
      </c>
      <c r="C1" s="275"/>
      <c r="D1" s="275"/>
      <c r="E1" s="275"/>
      <c r="F1" s="275"/>
      <c r="G1" s="275"/>
      <c r="H1" s="275"/>
      <c r="I1" s="275"/>
      <c r="J1" s="275"/>
      <c r="K1" s="275"/>
      <c r="L1" s="275"/>
    </row>
    <row r="2" spans="1:12" ht="28.95" customHeight="1" thickTop="1">
      <c r="B2" s="276" t="s">
        <v>8</v>
      </c>
      <c r="C2" s="277"/>
      <c r="D2" s="277"/>
      <c r="E2" s="277" t="s">
        <v>1</v>
      </c>
      <c r="F2" s="280" t="s">
        <v>9</v>
      </c>
      <c r="G2" s="269" t="s">
        <v>0</v>
      </c>
      <c r="H2" s="282" t="s">
        <v>722</v>
      </c>
      <c r="I2" s="282" t="s">
        <v>566</v>
      </c>
      <c r="J2" s="271" t="s">
        <v>10</v>
      </c>
      <c r="K2" s="271"/>
      <c r="L2" s="272"/>
    </row>
    <row r="3" spans="1:12" ht="52.2" customHeight="1">
      <c r="A3" s="169"/>
      <c r="B3" s="278"/>
      <c r="C3" s="279"/>
      <c r="D3" s="279"/>
      <c r="E3" s="279"/>
      <c r="F3" s="281"/>
      <c r="G3" s="270"/>
      <c r="H3" s="283"/>
      <c r="I3" s="283"/>
      <c r="J3" s="94" t="s">
        <v>61</v>
      </c>
      <c r="K3" s="94" t="s">
        <v>62</v>
      </c>
      <c r="L3" s="95" t="s">
        <v>63</v>
      </c>
    </row>
    <row r="4" spans="1:12" ht="14.4" customHeight="1">
      <c r="A4" s="169"/>
      <c r="B4" s="278"/>
      <c r="C4" s="279"/>
      <c r="D4" s="279"/>
      <c r="E4" s="279"/>
      <c r="F4" s="281"/>
      <c r="G4" s="270"/>
      <c r="H4" s="284"/>
      <c r="I4" s="284"/>
      <c r="J4" s="273" t="s">
        <v>2</v>
      </c>
      <c r="K4" s="273"/>
      <c r="L4" s="274"/>
    </row>
    <row r="5" spans="1:12" ht="134.25" hidden="1" customHeight="1">
      <c r="A5" s="169"/>
      <c r="B5" s="265">
        <v>1</v>
      </c>
      <c r="C5" s="266"/>
      <c r="D5" s="266"/>
      <c r="E5" s="76" t="s">
        <v>93</v>
      </c>
      <c r="F5" s="77"/>
      <c r="G5" s="78"/>
      <c r="H5" s="78"/>
      <c r="I5" s="78"/>
      <c r="J5" s="79"/>
      <c r="K5" s="79"/>
      <c r="L5" s="80"/>
    </row>
    <row r="6" spans="1:12" ht="38.4" hidden="1" customHeight="1">
      <c r="A6" s="169"/>
      <c r="B6" s="285"/>
      <c r="C6" s="286"/>
      <c r="D6" s="286"/>
      <c r="E6" s="204" t="s">
        <v>481</v>
      </c>
      <c r="F6" s="205"/>
      <c r="G6" s="206"/>
      <c r="H6" s="206"/>
      <c r="I6" s="206"/>
      <c r="J6" s="207">
        <f>SUMPRODUCT(J11:J67,$G$11:$G$67)</f>
        <v>0</v>
      </c>
      <c r="K6" s="207">
        <f>SUMPRODUCT(K11:K67,$G$11:$G$67)</f>
        <v>997821.07721700019</v>
      </c>
      <c r="L6" s="208" t="e">
        <f>L7+#REF!</f>
        <v>#REF!</v>
      </c>
    </row>
    <row r="7" spans="1:12" ht="38.4" hidden="1" customHeight="1">
      <c r="A7" s="169"/>
      <c r="B7" s="267"/>
      <c r="C7" s="268"/>
      <c r="D7" s="268"/>
      <c r="E7" s="66" t="s">
        <v>380</v>
      </c>
      <c r="F7" s="67"/>
      <c r="G7" s="68"/>
      <c r="H7" s="68"/>
      <c r="I7" s="68"/>
      <c r="J7" s="81"/>
      <c r="K7" s="81"/>
      <c r="L7" s="87" t="e">
        <f>L10+#REF!+#REF!+#REF!+#REF!</f>
        <v>#REF!</v>
      </c>
    </row>
    <row r="8" spans="1:12" ht="118.2" customHeight="1">
      <c r="A8" s="169"/>
      <c r="B8" s="265">
        <v>1</v>
      </c>
      <c r="C8" s="266"/>
      <c r="D8" s="266"/>
      <c r="E8" s="76" t="s">
        <v>93</v>
      </c>
      <c r="F8" s="77"/>
      <c r="G8" s="78"/>
      <c r="H8" s="78"/>
      <c r="I8" s="78"/>
      <c r="J8" s="79"/>
      <c r="K8" s="79"/>
      <c r="L8" s="80"/>
    </row>
    <row r="9" spans="1:12" ht="37.950000000000003" customHeight="1">
      <c r="A9" s="169"/>
      <c r="B9" s="267"/>
      <c r="C9" s="268"/>
      <c r="D9" s="268"/>
      <c r="E9" s="66" t="s">
        <v>720</v>
      </c>
      <c r="F9" s="67"/>
      <c r="G9" s="68"/>
      <c r="H9" s="68"/>
      <c r="I9" s="68"/>
      <c r="J9" s="81"/>
      <c r="K9" s="81"/>
      <c r="L9" s="87">
        <f>SUM(L10,L13,L16,L19,L25,L62)</f>
        <v>997821.07721700007</v>
      </c>
    </row>
    <row r="10" spans="1:12" ht="17.399999999999999">
      <c r="A10" s="169"/>
      <c r="B10" s="92">
        <v>1</v>
      </c>
      <c r="C10" s="93">
        <v>1</v>
      </c>
      <c r="D10" s="93">
        <v>0</v>
      </c>
      <c r="E10" s="88" t="s">
        <v>707</v>
      </c>
      <c r="F10" s="89"/>
      <c r="G10" s="90"/>
      <c r="H10" s="90"/>
      <c r="I10" s="90"/>
      <c r="J10" s="120"/>
      <c r="K10" s="120"/>
      <c r="L10" s="91">
        <f>SUM(L11:L12)</f>
        <v>186615</v>
      </c>
    </row>
    <row r="11" spans="1:12" ht="36">
      <c r="A11" s="169"/>
      <c r="B11" s="74">
        <v>1</v>
      </c>
      <c r="C11" s="69">
        <v>1</v>
      </c>
      <c r="D11" s="70">
        <v>1</v>
      </c>
      <c r="E11" s="189" t="s">
        <v>744</v>
      </c>
      <c r="F11" s="73" t="s">
        <v>631</v>
      </c>
      <c r="G11" s="73">
        <v>15455</v>
      </c>
      <c r="H11" s="234" t="s">
        <v>723</v>
      </c>
      <c r="I11" s="203"/>
      <c r="J11" s="229"/>
      <c r="K11" s="229">
        <v>8</v>
      </c>
      <c r="L11" s="75">
        <f t="shared" ref="L11:L12" si="0">(J11+K11)*G11</f>
        <v>123640</v>
      </c>
    </row>
    <row r="12" spans="1:12" ht="36">
      <c r="A12" s="169"/>
      <c r="B12" s="74">
        <v>1</v>
      </c>
      <c r="C12" s="69">
        <v>1</v>
      </c>
      <c r="D12" s="70">
        <v>2</v>
      </c>
      <c r="E12" s="189" t="s">
        <v>745</v>
      </c>
      <c r="F12" s="190" t="s">
        <v>631</v>
      </c>
      <c r="G12" s="73">
        <v>12595</v>
      </c>
      <c r="H12" s="234" t="s">
        <v>723</v>
      </c>
      <c r="I12" s="203"/>
      <c r="J12" s="229"/>
      <c r="K12" s="229">
        <v>5</v>
      </c>
      <c r="L12" s="75">
        <f t="shared" si="0"/>
        <v>62975</v>
      </c>
    </row>
    <row r="13" spans="1:12" ht="17.399999999999999">
      <c r="A13" s="169"/>
      <c r="B13" s="92">
        <v>1</v>
      </c>
      <c r="C13" s="93">
        <v>2</v>
      </c>
      <c r="D13" s="93">
        <v>0</v>
      </c>
      <c r="E13" s="88" t="s">
        <v>708</v>
      </c>
      <c r="F13" s="89"/>
      <c r="G13" s="90"/>
      <c r="H13" s="90"/>
      <c r="I13" s="90"/>
      <c r="J13" s="230"/>
      <c r="K13" s="230"/>
      <c r="L13" s="91">
        <f>SUM(L14:L15)</f>
        <v>7506</v>
      </c>
    </row>
    <row r="14" spans="1:12" ht="36">
      <c r="A14" s="169"/>
      <c r="B14" s="74">
        <v>1</v>
      </c>
      <c r="C14" s="69">
        <v>2</v>
      </c>
      <c r="D14" s="70">
        <v>1</v>
      </c>
      <c r="E14" s="189" t="s">
        <v>746</v>
      </c>
      <c r="F14" s="190" t="s">
        <v>631</v>
      </c>
      <c r="G14" s="73">
        <v>466</v>
      </c>
      <c r="H14" s="234" t="s">
        <v>723</v>
      </c>
      <c r="I14" s="203"/>
      <c r="J14" s="229"/>
      <c r="K14" s="229">
        <v>3.5</v>
      </c>
      <c r="L14" s="75">
        <f>(J14+K14)*G14</f>
        <v>1631</v>
      </c>
    </row>
    <row r="15" spans="1:12" ht="36">
      <c r="A15" s="169"/>
      <c r="B15" s="74">
        <v>1</v>
      </c>
      <c r="C15" s="69">
        <v>2</v>
      </c>
      <c r="D15" s="70">
        <v>2</v>
      </c>
      <c r="E15" s="189" t="s">
        <v>747</v>
      </c>
      <c r="F15" s="190" t="s">
        <v>631</v>
      </c>
      <c r="G15" s="73">
        <v>2350</v>
      </c>
      <c r="H15" s="234" t="s">
        <v>723</v>
      </c>
      <c r="I15" s="203"/>
      <c r="J15" s="229"/>
      <c r="K15" s="229">
        <v>2.5</v>
      </c>
      <c r="L15" s="75">
        <f>(J15+K15)*G15</f>
        <v>5875</v>
      </c>
    </row>
    <row r="16" spans="1:12" ht="17.399999999999999">
      <c r="A16" s="169"/>
      <c r="B16" s="92">
        <v>1</v>
      </c>
      <c r="C16" s="93">
        <v>3</v>
      </c>
      <c r="D16" s="93">
        <v>0</v>
      </c>
      <c r="E16" s="88" t="s">
        <v>709</v>
      </c>
      <c r="F16" s="89"/>
      <c r="G16" s="90"/>
      <c r="H16" s="90"/>
      <c r="I16" s="90"/>
      <c r="J16" s="230"/>
      <c r="K16" s="230"/>
      <c r="L16" s="91">
        <f>SUM(L17:L18)</f>
        <v>11696</v>
      </c>
    </row>
    <row r="17" spans="1:12" ht="36">
      <c r="A17" s="169"/>
      <c r="B17" s="74">
        <v>1</v>
      </c>
      <c r="C17" s="69">
        <v>3</v>
      </c>
      <c r="D17" s="70">
        <v>1</v>
      </c>
      <c r="E17" s="189" t="s">
        <v>748</v>
      </c>
      <c r="F17" s="190" t="s">
        <v>373</v>
      </c>
      <c r="G17" s="73">
        <v>4688</v>
      </c>
      <c r="H17" s="234" t="s">
        <v>723</v>
      </c>
      <c r="I17" s="203"/>
      <c r="J17" s="229"/>
      <c r="K17" s="229">
        <v>2</v>
      </c>
      <c r="L17" s="75">
        <f>(J17+K17)*G17</f>
        <v>9376</v>
      </c>
    </row>
    <row r="18" spans="1:12" ht="36">
      <c r="A18" s="169"/>
      <c r="B18" s="74">
        <v>1</v>
      </c>
      <c r="C18" s="69">
        <v>3</v>
      </c>
      <c r="D18" s="70">
        <v>2</v>
      </c>
      <c r="E18" s="189" t="s">
        <v>749</v>
      </c>
      <c r="F18" s="190" t="s">
        <v>631</v>
      </c>
      <c r="G18" s="73">
        <v>464</v>
      </c>
      <c r="H18" s="234" t="s">
        <v>723</v>
      </c>
      <c r="I18" s="73"/>
      <c r="J18" s="229"/>
      <c r="K18" s="229">
        <v>5</v>
      </c>
      <c r="L18" s="75">
        <f>(J18+K18)*G18</f>
        <v>2320</v>
      </c>
    </row>
    <row r="19" spans="1:12" ht="17.399999999999999">
      <c r="A19" s="169"/>
      <c r="B19" s="92">
        <v>1</v>
      </c>
      <c r="C19" s="93">
        <v>4</v>
      </c>
      <c r="D19" s="93">
        <v>0</v>
      </c>
      <c r="E19" s="88" t="s">
        <v>710</v>
      </c>
      <c r="F19" s="89"/>
      <c r="G19" s="90"/>
      <c r="H19" s="90"/>
      <c r="I19" s="90"/>
      <c r="J19" s="230"/>
      <c r="K19" s="230"/>
      <c r="L19" s="91">
        <f>SUM(L20:L24)</f>
        <v>81488.800000000003</v>
      </c>
    </row>
    <row r="20" spans="1:12" ht="36">
      <c r="A20" s="169"/>
      <c r="B20" s="74">
        <v>1</v>
      </c>
      <c r="C20" s="69">
        <v>4</v>
      </c>
      <c r="D20" s="70">
        <v>1</v>
      </c>
      <c r="E20" s="189" t="s">
        <v>750</v>
      </c>
      <c r="F20" s="190" t="s">
        <v>373</v>
      </c>
      <c r="G20" s="73">
        <v>4988</v>
      </c>
      <c r="H20" s="234" t="s">
        <v>723</v>
      </c>
      <c r="I20" s="203"/>
      <c r="J20" s="229"/>
      <c r="K20" s="229">
        <v>9</v>
      </c>
      <c r="L20" s="75">
        <f>(J20+K20)*G20</f>
        <v>44892</v>
      </c>
    </row>
    <row r="21" spans="1:12" ht="36">
      <c r="A21" s="169"/>
      <c r="B21" s="74">
        <v>1</v>
      </c>
      <c r="C21" s="69">
        <v>4</v>
      </c>
      <c r="D21" s="70">
        <v>2</v>
      </c>
      <c r="E21" s="189" t="s">
        <v>751</v>
      </c>
      <c r="F21" s="190" t="s">
        <v>631</v>
      </c>
      <c r="G21" s="73">
        <v>229</v>
      </c>
      <c r="H21" s="234" t="s">
        <v>723</v>
      </c>
      <c r="I21" s="203"/>
      <c r="J21" s="229"/>
      <c r="K21" s="229">
        <v>7</v>
      </c>
      <c r="L21" s="75">
        <f>(J21+K21)*G21</f>
        <v>1603</v>
      </c>
    </row>
    <row r="22" spans="1:12" ht="36">
      <c r="A22" s="169"/>
      <c r="B22" s="74">
        <v>1</v>
      </c>
      <c r="C22" s="69">
        <v>4</v>
      </c>
      <c r="D22" s="70">
        <v>3</v>
      </c>
      <c r="E22" s="189" t="s">
        <v>752</v>
      </c>
      <c r="F22" s="190" t="s">
        <v>373</v>
      </c>
      <c r="G22" s="73">
        <v>1066</v>
      </c>
      <c r="H22" s="234" t="s">
        <v>723</v>
      </c>
      <c r="I22" s="203"/>
      <c r="J22" s="229"/>
      <c r="K22" s="229">
        <v>9</v>
      </c>
      <c r="L22" s="75">
        <f t="shared" ref="L22:L24" si="1">(J22+K22)*G22</f>
        <v>9594</v>
      </c>
    </row>
    <row r="23" spans="1:12" ht="36">
      <c r="A23" s="169"/>
      <c r="B23" s="74">
        <v>1</v>
      </c>
      <c r="C23" s="69">
        <v>4</v>
      </c>
      <c r="D23" s="70">
        <v>4</v>
      </c>
      <c r="E23" s="189" t="s">
        <v>753</v>
      </c>
      <c r="F23" s="190" t="s">
        <v>373</v>
      </c>
      <c r="G23" s="73">
        <v>1411.1</v>
      </c>
      <c r="H23" s="234" t="s">
        <v>723</v>
      </c>
      <c r="I23" s="203"/>
      <c r="J23" s="229"/>
      <c r="K23" s="229">
        <v>4</v>
      </c>
      <c r="L23" s="75">
        <f t="shared" si="1"/>
        <v>5644.4</v>
      </c>
    </row>
    <row r="24" spans="1:12" ht="36">
      <c r="A24" s="169"/>
      <c r="B24" s="74">
        <v>1</v>
      </c>
      <c r="C24" s="69">
        <v>4</v>
      </c>
      <c r="D24" s="70">
        <v>5</v>
      </c>
      <c r="E24" s="189" t="s">
        <v>754</v>
      </c>
      <c r="F24" s="190" t="s">
        <v>373</v>
      </c>
      <c r="G24" s="73">
        <v>1411.1</v>
      </c>
      <c r="H24" s="234" t="s">
        <v>723</v>
      </c>
      <c r="I24" s="203"/>
      <c r="J24" s="229"/>
      <c r="K24" s="229">
        <v>14</v>
      </c>
      <c r="L24" s="75">
        <f t="shared" si="1"/>
        <v>19755.399999999998</v>
      </c>
    </row>
    <row r="25" spans="1:12" ht="17.399999999999999">
      <c r="A25" s="169"/>
      <c r="B25" s="92">
        <v>1</v>
      </c>
      <c r="C25" s="93">
        <v>5</v>
      </c>
      <c r="D25" s="93">
        <v>0</v>
      </c>
      <c r="E25" s="217" t="s">
        <v>711</v>
      </c>
      <c r="F25" s="89"/>
      <c r="G25" s="90"/>
      <c r="H25" s="90"/>
      <c r="I25" s="90"/>
      <c r="J25" s="230"/>
      <c r="K25" s="230"/>
      <c r="L25" s="91">
        <f>SUM(L26,L32,L39,L45,L52,L57)</f>
        <v>707452.26721700002</v>
      </c>
    </row>
    <row r="26" spans="1:12" ht="17.399999999999999">
      <c r="B26" s="223">
        <v>1</v>
      </c>
      <c r="C26" s="224">
        <v>5</v>
      </c>
      <c r="D26" s="224">
        <v>1</v>
      </c>
      <c r="E26" s="228" t="s">
        <v>712</v>
      </c>
      <c r="F26" s="225"/>
      <c r="G26" s="226"/>
      <c r="H26" s="226"/>
      <c r="I26" s="226"/>
      <c r="J26" s="231"/>
      <c r="K26" s="231"/>
      <c r="L26" s="227">
        <f>SUM(L27:L31)</f>
        <v>219055.54418000003</v>
      </c>
    </row>
    <row r="27" spans="1:12" ht="36">
      <c r="A27" s="169"/>
      <c r="B27" s="74">
        <v>1</v>
      </c>
      <c r="C27" s="69">
        <v>5</v>
      </c>
      <c r="D27" s="70">
        <v>1</v>
      </c>
      <c r="E27" s="233" t="s">
        <v>755</v>
      </c>
      <c r="F27" s="190" t="s">
        <v>631</v>
      </c>
      <c r="G27" s="73">
        <v>1842.0800000000002</v>
      </c>
      <c r="H27" s="234" t="s">
        <v>723</v>
      </c>
      <c r="I27" s="73"/>
      <c r="J27" s="229"/>
      <c r="K27" s="229">
        <v>70</v>
      </c>
      <c r="L27" s="75">
        <f t="shared" ref="L27:L38" si="2">(J27+K27)*G27</f>
        <v>128945.60000000001</v>
      </c>
    </row>
    <row r="28" spans="1:12" ht="36">
      <c r="A28" s="169"/>
      <c r="B28" s="74">
        <v>1</v>
      </c>
      <c r="C28" s="69">
        <v>5</v>
      </c>
      <c r="D28" s="70">
        <v>2</v>
      </c>
      <c r="E28" s="233" t="s">
        <v>756</v>
      </c>
      <c r="F28" s="190" t="s">
        <v>373</v>
      </c>
      <c r="G28" s="73">
        <v>212</v>
      </c>
      <c r="H28" s="234" t="s">
        <v>723</v>
      </c>
      <c r="I28" s="73"/>
      <c r="J28" s="229"/>
      <c r="K28" s="229">
        <v>12</v>
      </c>
      <c r="L28" s="75">
        <f t="shared" si="2"/>
        <v>2544</v>
      </c>
    </row>
    <row r="29" spans="1:12" ht="36">
      <c r="A29" s="169"/>
      <c r="B29" s="74">
        <v>1</v>
      </c>
      <c r="C29" s="69">
        <v>5</v>
      </c>
      <c r="D29" s="70">
        <v>3</v>
      </c>
      <c r="E29" s="233" t="s">
        <v>757</v>
      </c>
      <c r="F29" s="190" t="s">
        <v>713</v>
      </c>
      <c r="G29" s="73">
        <v>0.19250400000000001</v>
      </c>
      <c r="H29" s="234" t="s">
        <v>723</v>
      </c>
      <c r="I29" s="73"/>
      <c r="J29" s="229"/>
      <c r="K29" s="229">
        <v>650</v>
      </c>
      <c r="L29" s="75">
        <f t="shared" si="2"/>
        <v>125.1276</v>
      </c>
    </row>
    <row r="30" spans="1:12" ht="36">
      <c r="A30" s="169"/>
      <c r="B30" s="74">
        <v>1</v>
      </c>
      <c r="C30" s="69">
        <v>5</v>
      </c>
      <c r="D30" s="70">
        <v>4</v>
      </c>
      <c r="E30" s="233" t="s">
        <v>758</v>
      </c>
      <c r="F30" s="190" t="s">
        <v>713</v>
      </c>
      <c r="G30" s="73">
        <v>125.956596</v>
      </c>
      <c r="H30" s="234" t="s">
        <v>723</v>
      </c>
      <c r="I30" s="73"/>
      <c r="J30" s="229"/>
      <c r="K30" s="229">
        <v>650</v>
      </c>
      <c r="L30" s="75">
        <f t="shared" si="2"/>
        <v>81871.787400000001</v>
      </c>
    </row>
    <row r="31" spans="1:12" ht="36">
      <c r="A31" s="169"/>
      <c r="B31" s="74">
        <v>1</v>
      </c>
      <c r="C31" s="69">
        <v>5</v>
      </c>
      <c r="D31" s="70">
        <v>5</v>
      </c>
      <c r="E31" s="233" t="s">
        <v>759</v>
      </c>
      <c r="F31" s="190" t="s">
        <v>713</v>
      </c>
      <c r="G31" s="73">
        <v>8.5677371999999998</v>
      </c>
      <c r="H31" s="234" t="s">
        <v>723</v>
      </c>
      <c r="I31" s="73"/>
      <c r="J31" s="229"/>
      <c r="K31" s="229">
        <v>650</v>
      </c>
      <c r="L31" s="75">
        <f t="shared" si="2"/>
        <v>5569.0291799999995</v>
      </c>
    </row>
    <row r="32" spans="1:12" ht="17.399999999999999">
      <c r="B32" s="223">
        <v>1</v>
      </c>
      <c r="C32" s="224">
        <v>6</v>
      </c>
      <c r="D32" s="224">
        <v>2</v>
      </c>
      <c r="E32" s="228" t="s">
        <v>714</v>
      </c>
      <c r="F32" s="225"/>
      <c r="G32" s="226"/>
      <c r="H32" s="226"/>
      <c r="I32" s="226"/>
      <c r="J32" s="231"/>
      <c r="K32" s="231"/>
      <c r="L32" s="227">
        <f>SUM(L33:L38)</f>
        <v>23547.614559999998</v>
      </c>
    </row>
    <row r="33" spans="1:12" ht="36">
      <c r="A33" s="169"/>
      <c r="B33" s="74">
        <v>1</v>
      </c>
      <c r="C33" s="69">
        <f>$C$32</f>
        <v>6</v>
      </c>
      <c r="D33" s="70">
        <v>1</v>
      </c>
      <c r="E33" s="233" t="s">
        <v>755</v>
      </c>
      <c r="F33" s="190" t="s">
        <v>631</v>
      </c>
      <c r="G33" s="73">
        <v>107.72</v>
      </c>
      <c r="H33" s="234" t="s">
        <v>723</v>
      </c>
      <c r="I33" s="73"/>
      <c r="J33" s="229"/>
      <c r="K33" s="229">
        <v>70</v>
      </c>
      <c r="L33" s="75">
        <f t="shared" si="2"/>
        <v>7540.4</v>
      </c>
    </row>
    <row r="34" spans="1:12" ht="36">
      <c r="A34" s="169"/>
      <c r="B34" s="74">
        <v>1</v>
      </c>
      <c r="C34" s="69">
        <f t="shared" ref="C34:C38" si="3">$C$32</f>
        <v>6</v>
      </c>
      <c r="D34" s="70">
        <v>2</v>
      </c>
      <c r="E34" s="233" t="s">
        <v>756</v>
      </c>
      <c r="F34" s="190" t="s">
        <v>373</v>
      </c>
      <c r="G34" s="73">
        <v>418.56</v>
      </c>
      <c r="H34" s="234" t="s">
        <v>723</v>
      </c>
      <c r="I34" s="73"/>
      <c r="J34" s="229"/>
      <c r="K34" s="229">
        <v>12</v>
      </c>
      <c r="L34" s="75">
        <f t="shared" si="2"/>
        <v>5022.72</v>
      </c>
    </row>
    <row r="35" spans="1:12" ht="36">
      <c r="A35" s="169"/>
      <c r="B35" s="74">
        <v>1</v>
      </c>
      <c r="C35" s="69">
        <f t="shared" si="3"/>
        <v>6</v>
      </c>
      <c r="D35" s="70">
        <v>3</v>
      </c>
      <c r="E35" s="233" t="s">
        <v>758</v>
      </c>
      <c r="F35" s="190" t="s">
        <v>713</v>
      </c>
      <c r="G35" s="73">
        <v>3.4655103999999999</v>
      </c>
      <c r="H35" s="234" t="s">
        <v>723</v>
      </c>
      <c r="I35" s="73"/>
      <c r="J35" s="229"/>
      <c r="K35" s="229">
        <v>650</v>
      </c>
      <c r="L35" s="75">
        <f t="shared" si="2"/>
        <v>2252.58176</v>
      </c>
    </row>
    <row r="36" spans="1:12" ht="36">
      <c r="A36" s="169"/>
      <c r="B36" s="74">
        <v>1</v>
      </c>
      <c r="C36" s="69">
        <f t="shared" si="3"/>
        <v>6</v>
      </c>
      <c r="D36" s="70">
        <v>4</v>
      </c>
      <c r="E36" s="233" t="s">
        <v>760</v>
      </c>
      <c r="F36" s="190" t="s">
        <v>713</v>
      </c>
      <c r="G36" s="73">
        <v>7.1883520000000001</v>
      </c>
      <c r="H36" s="234" t="s">
        <v>723</v>
      </c>
      <c r="I36" s="73"/>
      <c r="J36" s="229"/>
      <c r="K36" s="229">
        <v>650</v>
      </c>
      <c r="L36" s="75">
        <f t="shared" si="2"/>
        <v>4672.4287999999997</v>
      </c>
    </row>
    <row r="37" spans="1:12" ht="36">
      <c r="A37" s="169"/>
      <c r="B37" s="74">
        <v>1</v>
      </c>
      <c r="C37" s="69">
        <f t="shared" si="3"/>
        <v>6</v>
      </c>
      <c r="D37" s="70">
        <v>5</v>
      </c>
      <c r="E37" s="233" t="s">
        <v>761</v>
      </c>
      <c r="F37" s="190" t="s">
        <v>713</v>
      </c>
      <c r="G37" s="73">
        <v>3.0002928</v>
      </c>
      <c r="H37" s="234" t="s">
        <v>723</v>
      </c>
      <c r="I37" s="73"/>
      <c r="J37" s="229"/>
      <c r="K37" s="229">
        <v>650</v>
      </c>
      <c r="L37" s="75">
        <f t="shared" ref="L37" si="4">(J37+K37)*G37</f>
        <v>1950.1903199999999</v>
      </c>
    </row>
    <row r="38" spans="1:12" ht="36">
      <c r="A38" s="169"/>
      <c r="B38" s="74">
        <v>1</v>
      </c>
      <c r="C38" s="69">
        <f t="shared" si="3"/>
        <v>6</v>
      </c>
      <c r="D38" s="70">
        <v>6</v>
      </c>
      <c r="E38" s="233" t="s">
        <v>759</v>
      </c>
      <c r="F38" s="190" t="s">
        <v>713</v>
      </c>
      <c r="G38" s="73">
        <v>3.2450671999999998</v>
      </c>
      <c r="H38" s="234" t="s">
        <v>723</v>
      </c>
      <c r="I38" s="73"/>
      <c r="J38" s="229"/>
      <c r="K38" s="229">
        <v>650</v>
      </c>
      <c r="L38" s="75">
        <f t="shared" si="2"/>
        <v>2109.2936799999998</v>
      </c>
    </row>
    <row r="39" spans="1:12" ht="17.399999999999999">
      <c r="B39" s="223">
        <v>1</v>
      </c>
      <c r="C39" s="224">
        <v>7</v>
      </c>
      <c r="D39" s="224">
        <v>3</v>
      </c>
      <c r="E39" s="228" t="s">
        <v>715</v>
      </c>
      <c r="F39" s="225"/>
      <c r="G39" s="226"/>
      <c r="H39" s="226"/>
      <c r="I39" s="226"/>
      <c r="J39" s="231"/>
      <c r="K39" s="231"/>
      <c r="L39" s="227">
        <f>SUM(L40:L44)</f>
        <v>263602.79314899998</v>
      </c>
    </row>
    <row r="40" spans="1:12" ht="36">
      <c r="A40" s="169"/>
      <c r="B40" s="74">
        <v>1</v>
      </c>
      <c r="C40" s="69">
        <f>$C$39</f>
        <v>7</v>
      </c>
      <c r="D40" s="70">
        <v>1</v>
      </c>
      <c r="E40" s="233" t="s">
        <v>755</v>
      </c>
      <c r="F40" s="190" t="s">
        <v>631</v>
      </c>
      <c r="G40" s="73">
        <v>1035</v>
      </c>
      <c r="H40" s="234" t="s">
        <v>723</v>
      </c>
      <c r="I40" s="73"/>
      <c r="J40" s="229"/>
      <c r="K40" s="229">
        <v>70</v>
      </c>
      <c r="L40" s="75">
        <f>(J40+K40)*G40</f>
        <v>72450</v>
      </c>
    </row>
    <row r="41" spans="1:12" ht="36">
      <c r="A41" s="169"/>
      <c r="B41" s="74">
        <v>1</v>
      </c>
      <c r="C41" s="69">
        <f t="shared" ref="C41:C44" si="5">$C$39</f>
        <v>7</v>
      </c>
      <c r="D41" s="70">
        <f>D40+1</f>
        <v>2</v>
      </c>
      <c r="E41" s="233" t="s">
        <v>762</v>
      </c>
      <c r="F41" s="190" t="s">
        <v>373</v>
      </c>
      <c r="G41" s="73">
        <v>6703.36</v>
      </c>
      <c r="H41" s="234" t="s">
        <v>723</v>
      </c>
      <c r="I41" s="73"/>
      <c r="J41" s="229"/>
      <c r="K41" s="229">
        <v>20</v>
      </c>
      <c r="L41" s="75">
        <f>(J41+K41)*G41</f>
        <v>134067.19999999998</v>
      </c>
    </row>
    <row r="42" spans="1:12" ht="36">
      <c r="A42" s="169"/>
      <c r="B42" s="74">
        <v>1</v>
      </c>
      <c r="C42" s="69">
        <f t="shared" si="5"/>
        <v>7</v>
      </c>
      <c r="D42" s="70">
        <f>D41+1</f>
        <v>3</v>
      </c>
      <c r="E42" s="233" t="s">
        <v>763</v>
      </c>
      <c r="F42" s="190" t="s">
        <v>713</v>
      </c>
      <c r="G42" s="73">
        <v>36.960294619999999</v>
      </c>
      <c r="H42" s="234" t="s">
        <v>723</v>
      </c>
      <c r="I42" s="73"/>
      <c r="J42" s="229"/>
      <c r="K42" s="229">
        <v>650</v>
      </c>
      <c r="L42" s="75">
        <f t="shared" ref="L42:L44" si="6">(J42+K42)*G42</f>
        <v>24024.191502999998</v>
      </c>
    </row>
    <row r="43" spans="1:12" ht="36">
      <c r="A43" s="169"/>
      <c r="B43" s="74">
        <v>1</v>
      </c>
      <c r="C43" s="69">
        <f t="shared" si="5"/>
        <v>7</v>
      </c>
      <c r="D43" s="70">
        <f t="shared" ref="D43" si="7">D42+1</f>
        <v>4</v>
      </c>
      <c r="E43" s="233" t="s">
        <v>758</v>
      </c>
      <c r="F43" s="190" t="s">
        <v>713</v>
      </c>
      <c r="G43" s="73">
        <v>47.819982840000002</v>
      </c>
      <c r="H43" s="234" t="s">
        <v>723</v>
      </c>
      <c r="I43" s="73"/>
      <c r="J43" s="229"/>
      <c r="K43" s="229">
        <v>650</v>
      </c>
      <c r="L43" s="75">
        <f t="shared" si="6"/>
        <v>31082.988846</v>
      </c>
    </row>
    <row r="44" spans="1:12" ht="36">
      <c r="A44" s="169"/>
      <c r="B44" s="74">
        <v>1</v>
      </c>
      <c r="C44" s="69">
        <f t="shared" si="5"/>
        <v>7</v>
      </c>
      <c r="D44" s="70">
        <f>D43+1</f>
        <v>5</v>
      </c>
      <c r="E44" s="233" t="s">
        <v>759</v>
      </c>
      <c r="F44" s="190" t="s">
        <v>713</v>
      </c>
      <c r="G44" s="73">
        <v>3.0437120000000002</v>
      </c>
      <c r="H44" s="234" t="s">
        <v>723</v>
      </c>
      <c r="I44" s="73"/>
      <c r="J44" s="229"/>
      <c r="K44" s="229">
        <v>650</v>
      </c>
      <c r="L44" s="75">
        <f t="shared" si="6"/>
        <v>1978.4128000000001</v>
      </c>
    </row>
    <row r="45" spans="1:12" ht="17.399999999999999">
      <c r="B45" s="223">
        <v>1</v>
      </c>
      <c r="C45" s="224">
        <v>8</v>
      </c>
      <c r="D45" s="224">
        <v>4</v>
      </c>
      <c r="E45" s="228" t="s">
        <v>716</v>
      </c>
      <c r="F45" s="225"/>
      <c r="G45" s="226"/>
      <c r="H45" s="226"/>
      <c r="I45" s="226"/>
      <c r="J45" s="231"/>
      <c r="K45" s="231"/>
      <c r="L45" s="227">
        <f>SUM(L46:L51)</f>
        <v>43600.976560000003</v>
      </c>
    </row>
    <row r="46" spans="1:12" ht="36">
      <c r="A46" s="169"/>
      <c r="B46" s="74">
        <v>1</v>
      </c>
      <c r="C46" s="69">
        <f>$C$45</f>
        <v>8</v>
      </c>
      <c r="D46" s="70">
        <v>1</v>
      </c>
      <c r="E46" s="233" t="s">
        <v>764</v>
      </c>
      <c r="F46" s="190" t="s">
        <v>631</v>
      </c>
      <c r="G46" s="73">
        <v>208.6</v>
      </c>
      <c r="H46" s="234" t="s">
        <v>723</v>
      </c>
      <c r="I46" s="73"/>
      <c r="J46" s="229"/>
      <c r="K46" s="229">
        <v>70</v>
      </c>
      <c r="L46" s="75">
        <f>(J46+K46)*G46</f>
        <v>14602</v>
      </c>
    </row>
    <row r="47" spans="1:12" ht="36">
      <c r="A47" s="169"/>
      <c r="B47" s="74">
        <v>1</v>
      </c>
      <c r="C47" s="69">
        <f t="shared" ref="C47:C51" si="8">$C$45</f>
        <v>8</v>
      </c>
      <c r="D47" s="70">
        <f>D46+1</f>
        <v>2</v>
      </c>
      <c r="E47" s="233" t="s">
        <v>762</v>
      </c>
      <c r="F47" s="190" t="s">
        <v>373</v>
      </c>
      <c r="G47" s="73">
        <v>649.33199999999999</v>
      </c>
      <c r="H47" s="234" t="s">
        <v>723</v>
      </c>
      <c r="I47" s="73"/>
      <c r="J47" s="229"/>
      <c r="K47" s="229">
        <v>12</v>
      </c>
      <c r="L47" s="75">
        <f>(J47+K47)*G47</f>
        <v>7791.9840000000004</v>
      </c>
    </row>
    <row r="48" spans="1:12" ht="36">
      <c r="A48" s="169"/>
      <c r="B48" s="74">
        <v>1</v>
      </c>
      <c r="C48" s="69">
        <f t="shared" si="8"/>
        <v>8</v>
      </c>
      <c r="D48" s="70">
        <f t="shared" ref="D48:D51" si="9">D47+1</f>
        <v>3</v>
      </c>
      <c r="E48" s="233" t="s">
        <v>760</v>
      </c>
      <c r="F48" s="190" t="s">
        <v>713</v>
      </c>
      <c r="G48" s="73">
        <v>6.7156320000000003</v>
      </c>
      <c r="H48" s="234" t="s">
        <v>723</v>
      </c>
      <c r="I48" s="73"/>
      <c r="J48" s="229"/>
      <c r="K48" s="229">
        <v>650</v>
      </c>
      <c r="L48" s="75">
        <f t="shared" ref="L48:L51" si="10">(J48+K48)*G48</f>
        <v>4365.1608000000006</v>
      </c>
    </row>
    <row r="49" spans="1:12" ht="36">
      <c r="A49" s="169"/>
      <c r="B49" s="74">
        <v>1</v>
      </c>
      <c r="C49" s="69">
        <f t="shared" si="8"/>
        <v>8</v>
      </c>
      <c r="D49" s="70">
        <f t="shared" si="9"/>
        <v>4</v>
      </c>
      <c r="E49" s="233" t="s">
        <v>765</v>
      </c>
      <c r="F49" s="190" t="s">
        <v>713</v>
      </c>
      <c r="G49" s="73">
        <v>18.757114000000001</v>
      </c>
      <c r="H49" s="234" t="s">
        <v>723</v>
      </c>
      <c r="I49" s="73"/>
      <c r="J49" s="229"/>
      <c r="K49" s="229">
        <v>650</v>
      </c>
      <c r="L49" s="75">
        <f t="shared" si="10"/>
        <v>12192.124100000001</v>
      </c>
    </row>
    <row r="50" spans="1:12" ht="36">
      <c r="A50" s="169"/>
      <c r="B50" s="74">
        <v>1</v>
      </c>
      <c r="C50" s="69">
        <f t="shared" si="8"/>
        <v>8</v>
      </c>
      <c r="D50" s="70">
        <f t="shared" si="9"/>
        <v>5</v>
      </c>
      <c r="E50" s="233" t="s">
        <v>766</v>
      </c>
      <c r="F50" s="190" t="s">
        <v>713</v>
      </c>
      <c r="G50" s="73">
        <v>0.60663480000000003</v>
      </c>
      <c r="H50" s="234" t="s">
        <v>723</v>
      </c>
      <c r="I50" s="73"/>
      <c r="J50" s="229"/>
      <c r="K50" s="229">
        <v>650</v>
      </c>
      <c r="L50" s="75">
        <f t="shared" ref="L50" si="11">(J50+K50)*G50</f>
        <v>394.31262000000004</v>
      </c>
    </row>
    <row r="51" spans="1:12" ht="36">
      <c r="A51" s="169"/>
      <c r="B51" s="74">
        <v>1</v>
      </c>
      <c r="C51" s="69">
        <f t="shared" si="8"/>
        <v>8</v>
      </c>
      <c r="D51" s="70">
        <f t="shared" si="9"/>
        <v>6</v>
      </c>
      <c r="E51" s="233" t="s">
        <v>759</v>
      </c>
      <c r="F51" s="190" t="s">
        <v>713</v>
      </c>
      <c r="G51" s="73">
        <v>6.5467616</v>
      </c>
      <c r="H51" s="234" t="s">
        <v>723</v>
      </c>
      <c r="I51" s="73"/>
      <c r="J51" s="229"/>
      <c r="K51" s="229">
        <v>650</v>
      </c>
      <c r="L51" s="75">
        <f t="shared" si="10"/>
        <v>4255.3950400000003</v>
      </c>
    </row>
    <row r="52" spans="1:12" ht="17.399999999999999">
      <c r="B52" s="223">
        <v>1</v>
      </c>
      <c r="C52" s="224">
        <v>9</v>
      </c>
      <c r="D52" s="224">
        <v>5</v>
      </c>
      <c r="E52" s="228" t="s">
        <v>717</v>
      </c>
      <c r="F52" s="225"/>
      <c r="G52" s="226"/>
      <c r="H52" s="226"/>
      <c r="I52" s="226"/>
      <c r="J52" s="231"/>
      <c r="K52" s="231"/>
      <c r="L52" s="227">
        <f>SUM(L53:L56)</f>
        <v>675.10153200000002</v>
      </c>
    </row>
    <row r="53" spans="1:12" ht="36">
      <c r="A53" s="169"/>
      <c r="B53" s="74">
        <v>1</v>
      </c>
      <c r="C53" s="69">
        <v>9</v>
      </c>
      <c r="D53" s="70">
        <v>1</v>
      </c>
      <c r="E53" s="233" t="s">
        <v>764</v>
      </c>
      <c r="F53" s="190" t="s">
        <v>631</v>
      </c>
      <c r="G53" s="73">
        <v>3.72</v>
      </c>
      <c r="H53" s="234" t="s">
        <v>723</v>
      </c>
      <c r="I53" s="73"/>
      <c r="J53" s="229"/>
      <c r="K53" s="229">
        <v>70</v>
      </c>
      <c r="L53" s="75">
        <f t="shared" ref="L53:L56" si="12">(J53+K53)*G53</f>
        <v>260.40000000000003</v>
      </c>
    </row>
    <row r="54" spans="1:12" ht="36">
      <c r="A54" s="169"/>
      <c r="B54" s="74">
        <v>1</v>
      </c>
      <c r="C54" s="69">
        <v>9</v>
      </c>
      <c r="D54" s="70">
        <v>2</v>
      </c>
      <c r="E54" s="233" t="s">
        <v>767</v>
      </c>
      <c r="F54" s="190" t="s">
        <v>373</v>
      </c>
      <c r="G54" s="73">
        <v>19.940000000000001</v>
      </c>
      <c r="H54" s="234" t="s">
        <v>723</v>
      </c>
      <c r="I54" s="73"/>
      <c r="J54" s="229"/>
      <c r="K54" s="229">
        <v>12</v>
      </c>
      <c r="L54" s="75">
        <f t="shared" si="12"/>
        <v>239.28000000000003</v>
      </c>
    </row>
    <row r="55" spans="1:12" ht="36">
      <c r="A55" s="169"/>
      <c r="B55" s="74">
        <v>1</v>
      </c>
      <c r="C55" s="69">
        <v>9</v>
      </c>
      <c r="D55" s="70">
        <v>3</v>
      </c>
      <c r="E55" s="233" t="s">
        <v>757</v>
      </c>
      <c r="F55" s="190" t="s">
        <v>713</v>
      </c>
      <c r="G55" s="73">
        <v>0.21101400000000001</v>
      </c>
      <c r="H55" s="234" t="s">
        <v>723</v>
      </c>
      <c r="I55" s="73"/>
      <c r="J55" s="229"/>
      <c r="K55" s="229">
        <v>650</v>
      </c>
      <c r="L55" s="75">
        <f t="shared" si="12"/>
        <v>137.1591</v>
      </c>
    </row>
    <row r="56" spans="1:12" ht="36">
      <c r="A56" s="169"/>
      <c r="B56" s="74">
        <v>1</v>
      </c>
      <c r="C56" s="69">
        <v>9</v>
      </c>
      <c r="D56" s="70">
        <v>4</v>
      </c>
      <c r="E56" s="233" t="s">
        <v>759</v>
      </c>
      <c r="F56" s="190" t="s">
        <v>713</v>
      </c>
      <c r="G56" s="73">
        <v>5.8865279999999999E-2</v>
      </c>
      <c r="H56" s="234" t="s">
        <v>723</v>
      </c>
      <c r="I56" s="73"/>
      <c r="J56" s="229"/>
      <c r="K56" s="229">
        <v>650</v>
      </c>
      <c r="L56" s="75">
        <f t="shared" si="12"/>
        <v>38.262431999999997</v>
      </c>
    </row>
    <row r="57" spans="1:12" ht="17.399999999999999">
      <c r="B57" s="223">
        <v>1</v>
      </c>
      <c r="C57" s="224">
        <v>10</v>
      </c>
      <c r="D57" s="224">
        <v>6</v>
      </c>
      <c r="E57" s="228" t="s">
        <v>718</v>
      </c>
      <c r="F57" s="225"/>
      <c r="G57" s="226"/>
      <c r="H57" s="226"/>
      <c r="I57" s="226"/>
      <c r="J57" s="231"/>
      <c r="K57" s="231"/>
      <c r="L57" s="227">
        <f>SUM(L58:L61)</f>
        <v>156970.23723599999</v>
      </c>
    </row>
    <row r="58" spans="1:12" ht="36">
      <c r="A58" s="169"/>
      <c r="B58" s="74">
        <v>1</v>
      </c>
      <c r="C58" s="69">
        <v>10</v>
      </c>
      <c r="D58" s="70">
        <v>1</v>
      </c>
      <c r="E58" s="233" t="s">
        <v>764</v>
      </c>
      <c r="F58" s="190" t="s">
        <v>631</v>
      </c>
      <c r="G58" s="73">
        <v>751.4</v>
      </c>
      <c r="H58" s="234" t="s">
        <v>723</v>
      </c>
      <c r="I58" s="73"/>
      <c r="J58" s="229"/>
      <c r="K58" s="229">
        <v>70</v>
      </c>
      <c r="L58" s="75">
        <f t="shared" ref="L58:L61" si="13">(J58+K58)*G58</f>
        <v>52598</v>
      </c>
    </row>
    <row r="59" spans="1:12" ht="36">
      <c r="A59" s="169"/>
      <c r="B59" s="74">
        <v>1</v>
      </c>
      <c r="C59" s="69">
        <v>10</v>
      </c>
      <c r="D59" s="70">
        <v>2</v>
      </c>
      <c r="E59" s="233" t="s">
        <v>767</v>
      </c>
      <c r="F59" s="190" t="s">
        <v>373</v>
      </c>
      <c r="G59" s="73">
        <v>4101</v>
      </c>
      <c r="H59" s="234" t="s">
        <v>723</v>
      </c>
      <c r="I59" s="73"/>
      <c r="J59" s="229"/>
      <c r="K59" s="229">
        <v>12</v>
      </c>
      <c r="L59" s="75">
        <f t="shared" si="13"/>
        <v>49212</v>
      </c>
    </row>
    <row r="60" spans="1:12" ht="36">
      <c r="A60" s="169"/>
      <c r="B60" s="74">
        <v>1</v>
      </c>
      <c r="C60" s="69">
        <v>10</v>
      </c>
      <c r="D60" s="70">
        <v>3</v>
      </c>
      <c r="E60" s="233" t="s">
        <v>763</v>
      </c>
      <c r="F60" s="190" t="s">
        <v>713</v>
      </c>
      <c r="G60" s="73">
        <v>81.058051199999994</v>
      </c>
      <c r="H60" s="234" t="s">
        <v>723</v>
      </c>
      <c r="I60" s="73"/>
      <c r="J60" s="229"/>
      <c r="K60" s="229">
        <v>650</v>
      </c>
      <c r="L60" s="75">
        <f t="shared" si="13"/>
        <v>52687.733279999993</v>
      </c>
    </row>
    <row r="61" spans="1:12" ht="36">
      <c r="A61" s="169"/>
      <c r="B61" s="74">
        <v>1</v>
      </c>
      <c r="C61" s="69">
        <v>10</v>
      </c>
      <c r="D61" s="70">
        <v>4</v>
      </c>
      <c r="E61" s="233" t="s">
        <v>759</v>
      </c>
      <c r="F61" s="190" t="s">
        <v>713</v>
      </c>
      <c r="G61" s="73">
        <v>3.8038522399999999</v>
      </c>
      <c r="H61" s="234" t="s">
        <v>723</v>
      </c>
      <c r="I61" s="73"/>
      <c r="J61" s="229"/>
      <c r="K61" s="229">
        <v>650</v>
      </c>
      <c r="L61" s="75">
        <f t="shared" si="13"/>
        <v>2472.503956</v>
      </c>
    </row>
    <row r="62" spans="1:12" ht="17.399999999999999">
      <c r="A62" s="169"/>
      <c r="B62" s="92">
        <v>1</v>
      </c>
      <c r="C62" s="93">
        <v>6</v>
      </c>
      <c r="D62" s="93">
        <v>0</v>
      </c>
      <c r="E62" s="217" t="s">
        <v>719</v>
      </c>
      <c r="F62" s="89"/>
      <c r="G62" s="90"/>
      <c r="H62" s="90"/>
      <c r="I62" s="90"/>
      <c r="J62" s="230"/>
      <c r="K62" s="230"/>
      <c r="L62" s="91">
        <f>SUM(L63:L67)</f>
        <v>3063.01</v>
      </c>
    </row>
    <row r="63" spans="1:12" ht="36">
      <c r="A63" s="169"/>
      <c r="B63" s="74">
        <v>1</v>
      </c>
      <c r="C63" s="69">
        <v>6</v>
      </c>
      <c r="D63" s="70">
        <v>1</v>
      </c>
      <c r="E63" s="189" t="s">
        <v>768</v>
      </c>
      <c r="F63" s="190" t="s">
        <v>713</v>
      </c>
      <c r="G63" s="191">
        <v>0.37690000000000001</v>
      </c>
      <c r="H63" s="234" t="s">
        <v>723</v>
      </c>
      <c r="I63" s="73"/>
      <c r="J63" s="229"/>
      <c r="K63" s="229">
        <v>900</v>
      </c>
      <c r="L63" s="75">
        <f>(J63+K63)*G63</f>
        <v>339.21000000000004</v>
      </c>
    </row>
    <row r="64" spans="1:12" ht="36">
      <c r="A64" s="169"/>
      <c r="B64" s="74">
        <v>1</v>
      </c>
      <c r="C64" s="69">
        <v>6</v>
      </c>
      <c r="D64" s="70">
        <v>2</v>
      </c>
      <c r="E64" s="189" t="s">
        <v>769</v>
      </c>
      <c r="F64" s="190" t="s">
        <v>713</v>
      </c>
      <c r="G64" s="73">
        <v>4.2200000000000001E-2</v>
      </c>
      <c r="H64" s="234" t="s">
        <v>723</v>
      </c>
      <c r="I64" s="73"/>
      <c r="J64" s="229"/>
      <c r="K64" s="229">
        <v>900</v>
      </c>
      <c r="L64" s="75">
        <f>(J64+K64)*G64</f>
        <v>37.980000000000004</v>
      </c>
    </row>
    <row r="65" spans="1:12" ht="36">
      <c r="A65" s="169"/>
      <c r="B65" s="74">
        <v>1</v>
      </c>
      <c r="C65" s="69">
        <v>6</v>
      </c>
      <c r="D65" s="70">
        <v>3</v>
      </c>
      <c r="E65" s="189" t="s">
        <v>770</v>
      </c>
      <c r="F65" s="190" t="s">
        <v>270</v>
      </c>
      <c r="G65" s="73">
        <v>64</v>
      </c>
      <c r="H65" s="234" t="s">
        <v>723</v>
      </c>
      <c r="I65" s="73"/>
      <c r="J65" s="229"/>
      <c r="K65" s="229">
        <v>40</v>
      </c>
      <c r="L65" s="75">
        <f t="shared" ref="L65:L67" si="14">(J65+K65)*G65</f>
        <v>2560</v>
      </c>
    </row>
    <row r="66" spans="1:12" ht="36">
      <c r="A66" s="169"/>
      <c r="B66" s="74">
        <v>1</v>
      </c>
      <c r="C66" s="69">
        <v>6</v>
      </c>
      <c r="D66" s="70">
        <v>4</v>
      </c>
      <c r="E66" s="189" t="s">
        <v>771</v>
      </c>
      <c r="F66" s="190" t="s">
        <v>713</v>
      </c>
      <c r="G66" s="73">
        <v>9.2600000000000002E-2</v>
      </c>
      <c r="H66" s="234" t="s">
        <v>723</v>
      </c>
      <c r="I66" s="73"/>
      <c r="J66" s="229"/>
      <c r="K66" s="229">
        <v>900</v>
      </c>
      <c r="L66" s="75">
        <f t="shared" si="14"/>
        <v>83.34</v>
      </c>
    </row>
    <row r="67" spans="1:12" ht="36.6" thickBot="1">
      <c r="A67" s="169"/>
      <c r="B67" s="96">
        <v>1</v>
      </c>
      <c r="C67" s="97">
        <v>6</v>
      </c>
      <c r="D67" s="98">
        <v>5</v>
      </c>
      <c r="E67" s="192" t="s">
        <v>772</v>
      </c>
      <c r="F67" s="193" t="s">
        <v>713</v>
      </c>
      <c r="G67" s="100">
        <v>4.7199999999999999E-2</v>
      </c>
      <c r="H67" s="235" t="s">
        <v>723</v>
      </c>
      <c r="I67" s="100"/>
      <c r="J67" s="232"/>
      <c r="K67" s="232">
        <v>900</v>
      </c>
      <c r="L67" s="194">
        <f t="shared" si="14"/>
        <v>42.48</v>
      </c>
    </row>
    <row r="68" spans="1:12" ht="14.4" thickTop="1"/>
  </sheetData>
  <sheetProtection algorithmName="SHA-512" hashValue="ev7GiBvVx9jUoSOUw0zrwgDILXa1QzcGNwgO29ch8ELkyKgpCb7BJEiMJ0YHVJZi/fPR8tezSU4W6sc1XsyHIw==" saltValue="PjGkcNdaReG6dunWo1Ndrg==" spinCount="100000" sheet="1" objects="1" scenarios="1"/>
  <mergeCells count="14">
    <mergeCell ref="B1:L1"/>
    <mergeCell ref="B7:D7"/>
    <mergeCell ref="B5:D5"/>
    <mergeCell ref="B2:D4"/>
    <mergeCell ref="E2:E4"/>
    <mergeCell ref="F2:F4"/>
    <mergeCell ref="H2:H4"/>
    <mergeCell ref="I2:I4"/>
    <mergeCell ref="B6:D6"/>
    <mergeCell ref="B8:D8"/>
    <mergeCell ref="B9:D9"/>
    <mergeCell ref="G2:G4"/>
    <mergeCell ref="J2:L2"/>
    <mergeCell ref="J4:L4"/>
  </mergeCells>
  <phoneticPr fontId="37" type="noConversion"/>
  <printOptions horizontalCentered="1"/>
  <pageMargins left="0.23622047244094499" right="0.23622047244094499" top="0.5" bottom="0.54" header="0.31496062992126" footer="0.31496062992126"/>
  <pageSetup paperSize="9" scale="41" fitToHeight="0" orientation="portrait" r:id="rId1"/>
  <headerFooter>
    <oddFooter>&amp;C&amp;P</oddFooter>
  </headerFooter>
  <rowBreaks count="2" manualBreakCount="2">
    <brk id="56" max="12" man="1"/>
    <brk id="59" max="12"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02C75-DF5D-4D81-B0FB-B00AFCDF6B0C}">
  <sheetPr>
    <tabColor theme="1"/>
  </sheetPr>
  <dimension ref="B2:N286"/>
  <sheetViews>
    <sheetView showGridLines="0" view="pageBreakPreview" topLeftCell="A168" zoomScale="70" zoomScaleNormal="70" zoomScaleSheetLayoutView="70" workbookViewId="0">
      <selection activeCell="M175" sqref="M175"/>
    </sheetView>
  </sheetViews>
  <sheetFormatPr defaultRowHeight="14.4"/>
  <cols>
    <col min="1" max="1" width="2" customWidth="1"/>
    <col min="2" max="2" width="12.88671875" customWidth="1"/>
    <col min="5" max="5" width="59.5546875" customWidth="1"/>
    <col min="6" max="6" width="6.88671875" bestFit="1" customWidth="1"/>
    <col min="7" max="7" width="9.44140625" bestFit="1" customWidth="1"/>
    <col min="8" max="13" width="17.44140625" customWidth="1"/>
    <col min="14" max="14" width="2" customWidth="1"/>
  </cols>
  <sheetData>
    <row r="2" spans="2:14" ht="32.4" customHeight="1">
      <c r="B2" s="147" t="str">
        <f>'0 - Summary'!A1</f>
        <v>ŞIRKƏT ADI : "İNDUSTRİAL SERVİCES CONSTRUCTİON GROUP" MMC</v>
      </c>
    </row>
    <row r="3" spans="2:14">
      <c r="J3" s="131" t="e">
        <f>J9='0 - Summary'!C14</f>
        <v>#DIV/0!</v>
      </c>
    </row>
    <row r="4" spans="2:14" s="23" customFormat="1" ht="27" customHeight="1" thickBot="1">
      <c r="B4" s="275" t="s">
        <v>89</v>
      </c>
      <c r="C4" s="275"/>
      <c r="D4" s="275"/>
      <c r="E4" s="275"/>
      <c r="F4" s="275"/>
      <c r="G4" s="275"/>
      <c r="H4" s="275"/>
      <c r="I4" s="275"/>
      <c r="J4" s="275"/>
      <c r="K4" s="158"/>
      <c r="L4" s="158"/>
      <c r="M4" s="158"/>
    </row>
    <row r="5" spans="2:14" s="23" customFormat="1" ht="28.95" customHeight="1" thickTop="1">
      <c r="B5" s="287" t="s">
        <v>8</v>
      </c>
      <c r="C5" s="288"/>
      <c r="D5" s="288"/>
      <c r="E5" s="288" t="s">
        <v>1</v>
      </c>
      <c r="F5" s="291" t="s">
        <v>9</v>
      </c>
      <c r="G5" s="293" t="s">
        <v>0</v>
      </c>
      <c r="H5" s="295" t="s">
        <v>10</v>
      </c>
      <c r="I5" s="295"/>
      <c r="J5" s="296"/>
      <c r="K5" s="301" t="s">
        <v>10</v>
      </c>
      <c r="L5" s="301"/>
      <c r="M5" s="302"/>
    </row>
    <row r="6" spans="2:14" s="23" customFormat="1" ht="52.2" customHeight="1">
      <c r="B6" s="289"/>
      <c r="C6" s="290"/>
      <c r="D6" s="290"/>
      <c r="E6" s="290"/>
      <c r="F6" s="292"/>
      <c r="G6" s="294"/>
      <c r="H6" s="94" t="s">
        <v>61</v>
      </c>
      <c r="I6" s="94" t="s">
        <v>62</v>
      </c>
      <c r="J6" s="154" t="s">
        <v>63</v>
      </c>
      <c r="K6" s="94" t="s">
        <v>266</v>
      </c>
      <c r="L6" s="94" t="s">
        <v>267</v>
      </c>
      <c r="M6" s="95" t="s">
        <v>63</v>
      </c>
    </row>
    <row r="7" spans="2:14" s="23" customFormat="1" ht="13.8">
      <c r="B7" s="289"/>
      <c r="C7" s="290"/>
      <c r="D7" s="290"/>
      <c r="E7" s="290"/>
      <c r="F7" s="292"/>
      <c r="G7" s="294"/>
      <c r="H7" s="297" t="s">
        <v>2</v>
      </c>
      <c r="I7" s="297"/>
      <c r="J7" s="298"/>
      <c r="K7" s="297" t="s">
        <v>2</v>
      </c>
      <c r="L7" s="297"/>
      <c r="M7" s="303"/>
    </row>
    <row r="8" spans="2:14" s="23" customFormat="1" ht="181.8" customHeight="1">
      <c r="B8" s="299">
        <v>1</v>
      </c>
      <c r="C8" s="300"/>
      <c r="D8" s="300"/>
      <c r="E8" s="76" t="s">
        <v>93</v>
      </c>
      <c r="F8" s="110"/>
      <c r="G8" s="78"/>
      <c r="H8" s="111"/>
      <c r="I8" s="111"/>
      <c r="J8" s="155"/>
      <c r="K8" s="111"/>
      <c r="L8" s="111"/>
      <c r="M8" s="112"/>
    </row>
    <row r="9" spans="2:14" s="23" customFormat="1" ht="73.8" customHeight="1">
      <c r="B9" s="285"/>
      <c r="C9" s="286"/>
      <c r="D9" s="286"/>
      <c r="E9" s="204" t="s">
        <v>481</v>
      </c>
      <c r="F9" s="210"/>
      <c r="G9" s="211"/>
      <c r="H9" s="212"/>
      <c r="I9" s="212"/>
      <c r="J9" s="213" t="e">
        <f>J10+J183</f>
        <v>#DIV/0!</v>
      </c>
      <c r="K9" s="212"/>
      <c r="L9" s="212"/>
      <c r="M9" s="213" t="e">
        <f>M10+M183</f>
        <v>#DIV/0!</v>
      </c>
      <c r="N9" s="195"/>
    </row>
    <row r="10" spans="2:14" s="23" customFormat="1" ht="52.2">
      <c r="B10" s="267"/>
      <c r="C10" s="268"/>
      <c r="D10" s="268"/>
      <c r="E10" s="66" t="s">
        <v>380</v>
      </c>
      <c r="F10" s="67"/>
      <c r="G10" s="113"/>
      <c r="H10" s="122"/>
      <c r="I10" s="122"/>
      <c r="J10" s="156" t="e">
        <f>J11+J67+J134+J169+J174</f>
        <v>#DIV/0!</v>
      </c>
      <c r="K10" s="122"/>
      <c r="L10" s="122"/>
      <c r="M10" s="156" t="e">
        <f>M11+M67+M134+M169+M174</f>
        <v>#DIV/0!</v>
      </c>
      <c r="N10" s="195"/>
    </row>
    <row r="11" spans="2:14" s="23" customFormat="1" ht="17.399999999999999">
      <c r="B11" s="92">
        <v>1</v>
      </c>
      <c r="C11" s="93">
        <v>0</v>
      </c>
      <c r="D11" s="93">
        <v>0</v>
      </c>
      <c r="E11" s="114" t="s">
        <v>379</v>
      </c>
      <c r="F11" s="89"/>
      <c r="G11" s="115"/>
      <c r="H11" s="124"/>
      <c r="I11" s="124"/>
      <c r="J11" s="196" t="e">
        <f>J12+J17+J21+J26+J31+J36+J41+J45+J50+J55+J60+J65</f>
        <v>#DIV/0!</v>
      </c>
      <c r="K11" s="196" t="e">
        <f>K12+K17+K21+K26+K31+K36+K41+K45+K50+K55+K60+K65</f>
        <v>#DIV/0!</v>
      </c>
      <c r="L11" s="196" t="e">
        <f>L12+L17+L21+L26+L31+L36+L41+L45+L50+L55+L60+L65</f>
        <v>#REF!</v>
      </c>
      <c r="M11" s="196" t="e">
        <f>M12+M17+M21+M26+M31+M36+M41+M45+M50+M55+M60+M65</f>
        <v>#DIV/0!</v>
      </c>
      <c r="N11" s="195"/>
    </row>
    <row r="12" spans="2:14" s="23" customFormat="1" ht="18" customHeight="1">
      <c r="B12" s="116">
        <v>1</v>
      </c>
      <c r="C12" s="117">
        <v>1</v>
      </c>
      <c r="D12" s="117">
        <v>0</v>
      </c>
      <c r="E12" s="118" t="s">
        <v>381</v>
      </c>
      <c r="F12" s="85"/>
      <c r="G12" s="119"/>
      <c r="H12" s="126"/>
      <c r="I12" s="126"/>
      <c r="J12" s="125" t="e">
        <f>SUM(J13:J16)</f>
        <v>#DIV/0!</v>
      </c>
      <c r="K12" s="125" t="e">
        <f>SUM(K13:K16)</f>
        <v>#DIV/0!</v>
      </c>
      <c r="L12" s="125" t="e">
        <f>SUM(L13:L16)</f>
        <v>#REF!</v>
      </c>
      <c r="M12" s="125" t="e">
        <f>SUM(M13:M16)</f>
        <v>#DIV/0!</v>
      </c>
    </row>
    <row r="13" spans="2:14" s="23" customFormat="1" ht="18">
      <c r="B13" s="74">
        <v>1</v>
      </c>
      <c r="C13" s="69">
        <v>1</v>
      </c>
      <c r="D13" s="70">
        <v>1</v>
      </c>
      <c r="E13" s="153" t="s">
        <v>382</v>
      </c>
      <c r="F13" s="72" t="s">
        <v>373</v>
      </c>
      <c r="G13" s="73">
        <v>1298</v>
      </c>
      <c r="H13" s="121" t="e">
        <f>'1 - Direct_DK_BoQ'!J11*'0 - Summary'!$H$19</f>
        <v>#DIV/0!</v>
      </c>
      <c r="I13" s="121">
        <f>'1 - Direct_DK_BoQ'!K11*'0 - Summary'!$G$15</f>
        <v>28.644182078667605</v>
      </c>
      <c r="J13" s="214" t="e">
        <f>(H13+I13)*G13</f>
        <v>#DIV/0!</v>
      </c>
      <c r="K13" s="128" t="e">
        <f>H13*G13</f>
        <v>#DIV/0!</v>
      </c>
      <c r="L13" s="128">
        <f>I13*G13</f>
        <v>37180.14833811055</v>
      </c>
      <c r="M13" s="127" t="e">
        <f>SUM(K13:L13)</f>
        <v>#DIV/0!</v>
      </c>
    </row>
    <row r="14" spans="2:14" s="23" customFormat="1" ht="18">
      <c r="B14" s="74">
        <v>1</v>
      </c>
      <c r="C14" s="69">
        <v>1</v>
      </c>
      <c r="D14" s="70">
        <v>2</v>
      </c>
      <c r="E14" s="153" t="s">
        <v>383</v>
      </c>
      <c r="F14" s="72" t="s">
        <v>373</v>
      </c>
      <c r="G14" s="73">
        <v>1298</v>
      </c>
      <c r="H14" s="121" t="e">
        <f>'1 - Direct_DK_BoQ'!#REF!*'0 - Summary'!$H$19</f>
        <v>#REF!</v>
      </c>
      <c r="I14" s="121" t="e">
        <f>'1 - Direct_DK_BoQ'!#REF!*'0 - Summary'!$G$15</f>
        <v>#REF!</v>
      </c>
      <c r="J14" s="157" t="e">
        <f>(H14+I14)*G14</f>
        <v>#REF!</v>
      </c>
      <c r="K14" s="128" t="e">
        <f>H14*G14</f>
        <v>#REF!</v>
      </c>
      <c r="L14" s="128" t="e">
        <f>I14*G14</f>
        <v>#REF!</v>
      </c>
      <c r="M14" s="127" t="e">
        <f>SUM(K14:L14)</f>
        <v>#REF!</v>
      </c>
    </row>
    <row r="15" spans="2:14" s="23" customFormat="1" ht="18">
      <c r="B15" s="74">
        <v>1</v>
      </c>
      <c r="C15" s="69">
        <v>1</v>
      </c>
      <c r="D15" s="70">
        <v>3</v>
      </c>
      <c r="E15" s="153" t="s">
        <v>384</v>
      </c>
      <c r="F15" s="72" t="s">
        <v>373</v>
      </c>
      <c r="G15" s="73">
        <v>1298</v>
      </c>
      <c r="H15" s="121" t="e">
        <f>'1 - Direct_DK_BoQ'!#REF!*'0 - Summary'!$H$19</f>
        <v>#REF!</v>
      </c>
      <c r="I15" s="121" t="e">
        <f>'1 - Direct_DK_BoQ'!#REF!*'0 - Summary'!$G$15</f>
        <v>#REF!</v>
      </c>
      <c r="J15" s="157" t="e">
        <f>(H15+I15)*G15</f>
        <v>#REF!</v>
      </c>
      <c r="K15" s="128" t="e">
        <f>H15*G15</f>
        <v>#REF!</v>
      </c>
      <c r="L15" s="128" t="e">
        <f>I15*G15</f>
        <v>#REF!</v>
      </c>
      <c r="M15" s="127" t="e">
        <f>SUM(K15:L15)</f>
        <v>#REF!</v>
      </c>
    </row>
    <row r="16" spans="2:14" ht="36">
      <c r="B16" s="74">
        <v>1</v>
      </c>
      <c r="C16" s="69">
        <v>1</v>
      </c>
      <c r="D16" s="70">
        <v>4</v>
      </c>
      <c r="E16" s="153" t="s">
        <v>385</v>
      </c>
      <c r="F16" s="72" t="s">
        <v>373</v>
      </c>
      <c r="G16" s="73">
        <v>1298</v>
      </c>
      <c r="H16" s="121" t="e">
        <f>'1 - Direct_DK_BoQ'!#REF!*'0 - Summary'!$H$19</f>
        <v>#REF!</v>
      </c>
      <c r="I16" s="121" t="e">
        <f>'1 - Direct_DK_BoQ'!#REF!*'0 - Summary'!$G$15</f>
        <v>#REF!</v>
      </c>
      <c r="J16" s="157" t="e">
        <f>(H16+I16)*G16</f>
        <v>#REF!</v>
      </c>
      <c r="K16" s="128" t="e">
        <f>H16*G16</f>
        <v>#REF!</v>
      </c>
      <c r="L16" s="128" t="e">
        <f>I16*G16</f>
        <v>#REF!</v>
      </c>
      <c r="M16" s="127" t="e">
        <f>SUM(K16:L16)</f>
        <v>#REF!</v>
      </c>
    </row>
    <row r="17" spans="2:13" s="23" customFormat="1" ht="18" customHeight="1">
      <c r="B17" s="116">
        <v>1</v>
      </c>
      <c r="C17" s="117">
        <v>2</v>
      </c>
      <c r="D17" s="117">
        <v>0</v>
      </c>
      <c r="E17" s="118" t="s">
        <v>386</v>
      </c>
      <c r="F17" s="85"/>
      <c r="G17" s="119"/>
      <c r="H17" s="126"/>
      <c r="I17" s="126"/>
      <c r="J17" s="209" t="e">
        <f>SUM(J18:J20)</f>
        <v>#DIV/0!</v>
      </c>
      <c r="K17" s="209" t="e">
        <f>SUM(K18:K20)</f>
        <v>#DIV/0!</v>
      </c>
      <c r="L17" s="209" t="e">
        <f>SUM(L18:L20)</f>
        <v>#REF!</v>
      </c>
      <c r="M17" s="125" t="e">
        <f>SUM(M18:M20)</f>
        <v>#DIV/0!</v>
      </c>
    </row>
    <row r="18" spans="2:13" s="23" customFormat="1" ht="36">
      <c r="B18" s="74">
        <v>1</v>
      </c>
      <c r="C18" s="69">
        <v>2</v>
      </c>
      <c r="D18" s="70">
        <v>1</v>
      </c>
      <c r="E18" s="153" t="s">
        <v>387</v>
      </c>
      <c r="F18" s="72" t="s">
        <v>373</v>
      </c>
      <c r="G18" s="73">
        <v>49</v>
      </c>
      <c r="H18" s="121" t="e">
        <f>'1 - Direct_DK_BoQ'!J14*'0 - Summary'!$H$19</f>
        <v>#DIV/0!</v>
      </c>
      <c r="I18" s="121">
        <f>'1 - Direct_DK_BoQ'!K14*'0 - Summary'!$G$15</f>
        <v>12.531829659417077</v>
      </c>
      <c r="J18" s="157" t="e">
        <f>(H18+I18)*G18</f>
        <v>#DIV/0!</v>
      </c>
      <c r="K18" s="128" t="e">
        <f>H18*G18</f>
        <v>#DIV/0!</v>
      </c>
      <c r="L18" s="128">
        <f>I18*G18</f>
        <v>614.05965331143682</v>
      </c>
      <c r="M18" s="127" t="e">
        <f>SUM(K18:L18)</f>
        <v>#DIV/0!</v>
      </c>
    </row>
    <row r="19" spans="2:13" s="23" customFormat="1" ht="18">
      <c r="B19" s="74">
        <v>1</v>
      </c>
      <c r="C19" s="69">
        <v>2</v>
      </c>
      <c r="D19" s="70">
        <v>2</v>
      </c>
      <c r="E19" s="153" t="s">
        <v>388</v>
      </c>
      <c r="F19" s="72" t="s">
        <v>373</v>
      </c>
      <c r="G19" s="73">
        <v>49</v>
      </c>
      <c r="H19" s="121" t="e">
        <f>'1 - Direct_DK_BoQ'!#REF!*'0 - Summary'!$H$19</f>
        <v>#REF!</v>
      </c>
      <c r="I19" s="121" t="e">
        <f>'1 - Direct_DK_BoQ'!#REF!*'0 - Summary'!$G$15</f>
        <v>#REF!</v>
      </c>
      <c r="J19" s="157" t="e">
        <f>(H19+I19)*G19</f>
        <v>#REF!</v>
      </c>
      <c r="K19" s="128" t="e">
        <f>H19*G19</f>
        <v>#REF!</v>
      </c>
      <c r="L19" s="128" t="e">
        <f>I19*G19</f>
        <v>#REF!</v>
      </c>
      <c r="M19" s="127" t="e">
        <f>SUM(K19:L19)</f>
        <v>#REF!</v>
      </c>
    </row>
    <row r="20" spans="2:13" s="23" customFormat="1" ht="18">
      <c r="B20" s="74">
        <v>1</v>
      </c>
      <c r="C20" s="69">
        <v>2</v>
      </c>
      <c r="D20" s="70">
        <v>3</v>
      </c>
      <c r="E20" s="153" t="s">
        <v>389</v>
      </c>
      <c r="F20" s="72" t="s">
        <v>373</v>
      </c>
      <c r="G20" s="73">
        <v>49</v>
      </c>
      <c r="H20" s="121" t="e">
        <f>'1 - Direct_DK_BoQ'!#REF!*'0 - Summary'!$H$19</f>
        <v>#REF!</v>
      </c>
      <c r="I20" s="121" t="e">
        <f>'1 - Direct_DK_BoQ'!#REF!*'0 - Summary'!$G$15</f>
        <v>#REF!</v>
      </c>
      <c r="J20" s="157" t="e">
        <f>(H20+I20)*G20</f>
        <v>#REF!</v>
      </c>
      <c r="K20" s="128" t="e">
        <f>H20*G20</f>
        <v>#REF!</v>
      </c>
      <c r="L20" s="128" t="e">
        <f>I20*G20</f>
        <v>#REF!</v>
      </c>
      <c r="M20" s="127" t="e">
        <f>SUM(K20:L20)</f>
        <v>#REF!</v>
      </c>
    </row>
    <row r="21" spans="2:13" s="23" customFormat="1" ht="18" customHeight="1">
      <c r="B21" s="116">
        <v>1</v>
      </c>
      <c r="C21" s="117">
        <v>3</v>
      </c>
      <c r="D21" s="117">
        <v>0</v>
      </c>
      <c r="E21" s="118" t="s">
        <v>390</v>
      </c>
      <c r="F21" s="85"/>
      <c r="G21" s="119"/>
      <c r="H21" s="126"/>
      <c r="I21" s="126"/>
      <c r="J21" s="209" t="e">
        <f>SUM(J22:J24)</f>
        <v>#DIV/0!</v>
      </c>
      <c r="K21" s="209" t="e">
        <f>SUM(K22:K24)</f>
        <v>#DIV/0!</v>
      </c>
      <c r="L21" s="209" t="e">
        <f>SUM(L22:L24)</f>
        <v>#REF!</v>
      </c>
      <c r="M21" s="125" t="e">
        <f>SUM(M22:M24)</f>
        <v>#DIV/0!</v>
      </c>
    </row>
    <row r="22" spans="2:13" s="23" customFormat="1" ht="18">
      <c r="B22" s="74">
        <v>1</v>
      </c>
      <c r="C22" s="69">
        <v>3</v>
      </c>
      <c r="D22" s="70">
        <v>1</v>
      </c>
      <c r="E22" s="153" t="s">
        <v>391</v>
      </c>
      <c r="F22" s="72" t="s">
        <v>373</v>
      </c>
      <c r="G22" s="73">
        <v>1096</v>
      </c>
      <c r="H22" s="121" t="e">
        <f>'1 - Direct_DK_BoQ'!J17*'0 - Summary'!$H$19</f>
        <v>#DIV/0!</v>
      </c>
      <c r="I22" s="121">
        <f>'1 - Direct_DK_BoQ'!K17*'0 - Summary'!$G$15</f>
        <v>7.1610455196669012</v>
      </c>
      <c r="J22" s="157" t="e">
        <f>(H22+I22)*G22</f>
        <v>#DIV/0!</v>
      </c>
      <c r="K22" s="128" t="e">
        <f>H22*G22</f>
        <v>#DIV/0!</v>
      </c>
      <c r="L22" s="128">
        <f>I22*G22</f>
        <v>7848.5058895549237</v>
      </c>
      <c r="M22" s="127" t="e">
        <f>SUM(K22:L22)</f>
        <v>#DIV/0!</v>
      </c>
    </row>
    <row r="23" spans="2:13" s="23" customFormat="1" ht="18">
      <c r="B23" s="74">
        <v>1</v>
      </c>
      <c r="C23" s="69">
        <v>3</v>
      </c>
      <c r="D23" s="70">
        <v>2</v>
      </c>
      <c r="E23" s="153" t="s">
        <v>383</v>
      </c>
      <c r="F23" s="72" t="s">
        <v>373</v>
      </c>
      <c r="G23" s="73">
        <v>1096</v>
      </c>
      <c r="H23" s="121" t="e">
        <f>'1 - Direct_DK_BoQ'!J18*'0 - Summary'!$H$19</f>
        <v>#DIV/0!</v>
      </c>
      <c r="I23" s="121">
        <f>'1 - Direct_DK_BoQ'!K18*'0 - Summary'!$G$15</f>
        <v>17.902613799167252</v>
      </c>
      <c r="J23" s="157" t="e">
        <f>(H23+I23)*G23</f>
        <v>#DIV/0!</v>
      </c>
      <c r="K23" s="128" t="e">
        <f>H23*G23</f>
        <v>#DIV/0!</v>
      </c>
      <c r="L23" s="128">
        <f>I23*G23</f>
        <v>19621.264723887307</v>
      </c>
      <c r="M23" s="127" t="e">
        <f>SUM(K23:L23)</f>
        <v>#DIV/0!</v>
      </c>
    </row>
    <row r="24" spans="2:13" s="23" customFormat="1" ht="18">
      <c r="B24" s="74">
        <v>1</v>
      </c>
      <c r="C24" s="69">
        <v>3</v>
      </c>
      <c r="D24" s="70">
        <v>3</v>
      </c>
      <c r="E24" s="153" t="s">
        <v>384</v>
      </c>
      <c r="F24" s="72" t="s">
        <v>373</v>
      </c>
      <c r="G24" s="73">
        <v>1096</v>
      </c>
      <c r="H24" s="121" t="e">
        <f>'1 - Direct_DK_BoQ'!#REF!*'0 - Summary'!$H$19</f>
        <v>#REF!</v>
      </c>
      <c r="I24" s="121" t="e">
        <f>'1 - Direct_DK_BoQ'!#REF!*'0 - Summary'!$G$15</f>
        <v>#REF!</v>
      </c>
      <c r="J24" s="157" t="e">
        <f>(H24+I24)*G24</f>
        <v>#REF!</v>
      </c>
      <c r="K24" s="128" t="e">
        <f>H24*G24</f>
        <v>#REF!</v>
      </c>
      <c r="L24" s="128" t="e">
        <f>I24*G24</f>
        <v>#REF!</v>
      </c>
      <c r="M24" s="127" t="e">
        <f>SUM(K24:L24)</f>
        <v>#REF!</v>
      </c>
    </row>
    <row r="25" spans="2:13" ht="36">
      <c r="B25" s="74">
        <v>1</v>
      </c>
      <c r="C25" s="69">
        <v>3</v>
      </c>
      <c r="D25" s="70">
        <v>4</v>
      </c>
      <c r="E25" s="153" t="s">
        <v>385</v>
      </c>
      <c r="F25" s="72" t="s">
        <v>373</v>
      </c>
      <c r="G25" s="73">
        <v>1096</v>
      </c>
      <c r="H25" s="121" t="e">
        <f>'1 - Direct_DK_BoQ'!#REF!*'0 - Summary'!$H$19</f>
        <v>#REF!</v>
      </c>
      <c r="I25" s="121" t="e">
        <f>'1 - Direct_DK_BoQ'!#REF!*'0 - Summary'!$G$15</f>
        <v>#REF!</v>
      </c>
      <c r="J25" s="157" t="e">
        <f>(H25+I25)*G25</f>
        <v>#REF!</v>
      </c>
      <c r="K25" s="128" t="e">
        <f>H25*G25</f>
        <v>#REF!</v>
      </c>
      <c r="L25" s="128" t="e">
        <f>I25*G25</f>
        <v>#REF!</v>
      </c>
      <c r="M25" s="127" t="e">
        <f>SUM(K25:L25)</f>
        <v>#REF!</v>
      </c>
    </row>
    <row r="26" spans="2:13" s="23" customFormat="1" ht="18" customHeight="1">
      <c r="B26" s="116">
        <v>1</v>
      </c>
      <c r="C26" s="117">
        <v>4</v>
      </c>
      <c r="D26" s="117">
        <v>0</v>
      </c>
      <c r="E26" s="118" t="s">
        <v>392</v>
      </c>
      <c r="F26" s="85"/>
      <c r="G26" s="119"/>
      <c r="H26" s="126"/>
      <c r="I26" s="126"/>
      <c r="J26" s="209" t="e">
        <f>SUM(J27:J29)</f>
        <v>#DIV/0!</v>
      </c>
      <c r="K26" s="209" t="e">
        <f>SUM(K27:K29)</f>
        <v>#DIV/0!</v>
      </c>
      <c r="L26" s="209" t="e">
        <f>SUM(L27:L29)</f>
        <v>#REF!</v>
      </c>
      <c r="M26" s="125" t="e">
        <f>SUM(M27:M29)</f>
        <v>#DIV/0!</v>
      </c>
    </row>
    <row r="27" spans="2:13" s="23" customFormat="1" ht="18">
      <c r="B27" s="74">
        <v>1</v>
      </c>
      <c r="C27" s="69">
        <v>4</v>
      </c>
      <c r="D27" s="70">
        <v>1</v>
      </c>
      <c r="E27" s="153" t="s">
        <v>393</v>
      </c>
      <c r="F27" s="72" t="s">
        <v>373</v>
      </c>
      <c r="G27" s="73">
        <v>892</v>
      </c>
      <c r="H27" s="121" t="e">
        <f>'1 - Direct_DK_BoQ'!J20*'0 - Summary'!$H$19</f>
        <v>#DIV/0!</v>
      </c>
      <c r="I27" s="121">
        <f>'1 - Direct_DK_BoQ'!K20*'0 - Summary'!$G$15</f>
        <v>32.224704838501054</v>
      </c>
      <c r="J27" s="157" t="e">
        <f>(H27+I27)*G27</f>
        <v>#DIV/0!</v>
      </c>
      <c r="K27" s="128" t="e">
        <f>H27*G27</f>
        <v>#DIV/0!</v>
      </c>
      <c r="L27" s="128">
        <f>I27*G27</f>
        <v>28744.436715942942</v>
      </c>
      <c r="M27" s="127" t="e">
        <f>SUM(K27:L27)</f>
        <v>#DIV/0!</v>
      </c>
    </row>
    <row r="28" spans="2:13" s="23" customFormat="1" ht="18">
      <c r="B28" s="74">
        <v>1</v>
      </c>
      <c r="C28" s="69">
        <v>4</v>
      </c>
      <c r="D28" s="70">
        <v>2</v>
      </c>
      <c r="E28" s="153" t="s">
        <v>383</v>
      </c>
      <c r="F28" s="72" t="s">
        <v>373</v>
      </c>
      <c r="G28" s="73">
        <v>892</v>
      </c>
      <c r="H28" s="121" t="e">
        <f>'1 - Direct_DK_BoQ'!J21*'0 - Summary'!$H$19</f>
        <v>#DIV/0!</v>
      </c>
      <c r="I28" s="121">
        <f>'1 - Direct_DK_BoQ'!K21*'0 - Summary'!$G$15</f>
        <v>25.063659318834155</v>
      </c>
      <c r="J28" s="157" t="e">
        <f>(H28+I28)*G28</f>
        <v>#DIV/0!</v>
      </c>
      <c r="K28" s="128" t="e">
        <f>H28*G28</f>
        <v>#DIV/0!</v>
      </c>
      <c r="L28" s="128">
        <f>I28*G28</f>
        <v>22356.784112400066</v>
      </c>
      <c r="M28" s="127" t="e">
        <f>SUM(K28:L28)</f>
        <v>#DIV/0!</v>
      </c>
    </row>
    <row r="29" spans="2:13" s="23" customFormat="1" ht="18">
      <c r="B29" s="74">
        <v>1</v>
      </c>
      <c r="C29" s="69">
        <v>4</v>
      </c>
      <c r="D29" s="70">
        <v>3</v>
      </c>
      <c r="E29" s="153" t="s">
        <v>384</v>
      </c>
      <c r="F29" s="72" t="s">
        <v>373</v>
      </c>
      <c r="G29" s="73">
        <v>892</v>
      </c>
      <c r="H29" s="121" t="e">
        <f>'1 - Direct_DK_BoQ'!#REF!*'0 - Summary'!$H$19</f>
        <v>#REF!</v>
      </c>
      <c r="I29" s="121" t="e">
        <f>'1 - Direct_DK_BoQ'!#REF!*'0 - Summary'!$G$15</f>
        <v>#REF!</v>
      </c>
      <c r="J29" s="157" t="e">
        <f>(H29+I29)*G29</f>
        <v>#REF!</v>
      </c>
      <c r="K29" s="128" t="e">
        <f>H29*G29</f>
        <v>#REF!</v>
      </c>
      <c r="L29" s="128" t="e">
        <f>I29*G29</f>
        <v>#REF!</v>
      </c>
      <c r="M29" s="127" t="e">
        <f>SUM(K29:L29)</f>
        <v>#REF!</v>
      </c>
    </row>
    <row r="30" spans="2:13" ht="36">
      <c r="B30" s="74">
        <v>1</v>
      </c>
      <c r="C30" s="69">
        <v>4</v>
      </c>
      <c r="D30" s="70">
        <v>4</v>
      </c>
      <c r="E30" s="153" t="s">
        <v>385</v>
      </c>
      <c r="F30" s="72" t="s">
        <v>373</v>
      </c>
      <c r="G30" s="73">
        <v>892</v>
      </c>
      <c r="H30" s="121" t="e">
        <f>'1 - Direct_DK_BoQ'!#REF!*'0 - Summary'!$H$19</f>
        <v>#REF!</v>
      </c>
      <c r="I30" s="121" t="e">
        <f>'1 - Direct_DK_BoQ'!#REF!*'0 - Summary'!$G$15</f>
        <v>#REF!</v>
      </c>
      <c r="J30" s="157" t="e">
        <f>(H30+I30)*G30</f>
        <v>#REF!</v>
      </c>
      <c r="K30" s="128" t="e">
        <f>H30*G30</f>
        <v>#REF!</v>
      </c>
      <c r="L30" s="128" t="e">
        <f>I30*G30</f>
        <v>#REF!</v>
      </c>
      <c r="M30" s="127" t="e">
        <f>SUM(K30:L30)</f>
        <v>#REF!</v>
      </c>
    </row>
    <row r="31" spans="2:13" s="23" customFormat="1" ht="18" customHeight="1">
      <c r="B31" s="116">
        <v>1</v>
      </c>
      <c r="C31" s="117">
        <v>5</v>
      </c>
      <c r="D31" s="117">
        <v>0</v>
      </c>
      <c r="E31" s="118" t="s">
        <v>394</v>
      </c>
      <c r="F31" s="85"/>
      <c r="G31" s="119"/>
      <c r="H31" s="126"/>
      <c r="I31" s="126"/>
      <c r="J31" s="209" t="e">
        <f>SUM(J32:J34)</f>
        <v>#DIV/0!</v>
      </c>
      <c r="K31" s="209" t="e">
        <f>SUM(K32:K34)</f>
        <v>#DIV/0!</v>
      </c>
      <c r="L31" s="209" t="e">
        <f>SUM(L32:L34)</f>
        <v>#REF!</v>
      </c>
      <c r="M31" s="125" t="e">
        <f>SUM(M32:M34)</f>
        <v>#DIV/0!</v>
      </c>
    </row>
    <row r="32" spans="2:13" s="23" customFormat="1" ht="54">
      <c r="B32" s="74">
        <v>1</v>
      </c>
      <c r="C32" s="69">
        <v>5</v>
      </c>
      <c r="D32" s="70">
        <v>1</v>
      </c>
      <c r="E32" s="153" t="s">
        <v>395</v>
      </c>
      <c r="F32" s="72" t="s">
        <v>373</v>
      </c>
      <c r="G32" s="73">
        <v>83</v>
      </c>
      <c r="H32" s="121" t="e">
        <f>'1 - Direct_DK_BoQ'!J26*'0 - Summary'!$H$19</f>
        <v>#DIV/0!</v>
      </c>
      <c r="I32" s="121">
        <f>'1 - Direct_DK_BoQ'!K26*'0 - Summary'!$G$15</f>
        <v>0</v>
      </c>
      <c r="J32" s="157" t="e">
        <f>(H32+I32)*G32</f>
        <v>#DIV/0!</v>
      </c>
      <c r="K32" s="128" t="e">
        <f>H32*G32</f>
        <v>#DIV/0!</v>
      </c>
      <c r="L32" s="128">
        <f>I32*G32</f>
        <v>0</v>
      </c>
      <c r="M32" s="127" t="e">
        <f>SUM(K32:L32)</f>
        <v>#DIV/0!</v>
      </c>
    </row>
    <row r="33" spans="2:13" s="23" customFormat="1" ht="18">
      <c r="B33" s="74">
        <v>1</v>
      </c>
      <c r="C33" s="69">
        <v>5</v>
      </c>
      <c r="D33" s="70">
        <v>2</v>
      </c>
      <c r="E33" s="153" t="s">
        <v>383</v>
      </c>
      <c r="F33" s="72" t="s">
        <v>373</v>
      </c>
      <c r="G33" s="73">
        <v>83</v>
      </c>
      <c r="H33" s="121" t="e">
        <f>'1 - Direct_DK_BoQ'!#REF!*'0 - Summary'!$H$19</f>
        <v>#REF!</v>
      </c>
      <c r="I33" s="121" t="e">
        <f>'1 - Direct_DK_BoQ'!#REF!*'0 - Summary'!$G$15</f>
        <v>#REF!</v>
      </c>
      <c r="J33" s="157" t="e">
        <f>(H33+I33)*G33</f>
        <v>#REF!</v>
      </c>
      <c r="K33" s="128" t="e">
        <f>H33*G33</f>
        <v>#REF!</v>
      </c>
      <c r="L33" s="128" t="e">
        <f>I33*G33</f>
        <v>#REF!</v>
      </c>
      <c r="M33" s="127" t="e">
        <f>SUM(K33:L33)</f>
        <v>#REF!</v>
      </c>
    </row>
    <row r="34" spans="2:13" s="23" customFormat="1" ht="18">
      <c r="B34" s="74">
        <v>1</v>
      </c>
      <c r="C34" s="69">
        <v>5</v>
      </c>
      <c r="D34" s="70">
        <v>3</v>
      </c>
      <c r="E34" s="153" t="s">
        <v>384</v>
      </c>
      <c r="F34" s="72" t="s">
        <v>373</v>
      </c>
      <c r="G34" s="73">
        <v>83</v>
      </c>
      <c r="H34" s="121" t="e">
        <f>'1 - Direct_DK_BoQ'!#REF!*'0 - Summary'!$H$19</f>
        <v>#REF!</v>
      </c>
      <c r="I34" s="121" t="e">
        <f>'1 - Direct_DK_BoQ'!#REF!*'0 - Summary'!$G$15</f>
        <v>#REF!</v>
      </c>
      <c r="J34" s="157" t="e">
        <f>(H34+I34)*G34</f>
        <v>#REF!</v>
      </c>
      <c r="K34" s="128" t="e">
        <f>H34*G34</f>
        <v>#REF!</v>
      </c>
      <c r="L34" s="128" t="e">
        <f>I34*G34</f>
        <v>#REF!</v>
      </c>
      <c r="M34" s="127" t="e">
        <f>SUM(K34:L34)</f>
        <v>#REF!</v>
      </c>
    </row>
    <row r="35" spans="2:13" ht="36">
      <c r="B35" s="74">
        <v>1</v>
      </c>
      <c r="C35" s="69">
        <v>5</v>
      </c>
      <c r="D35" s="70">
        <v>4</v>
      </c>
      <c r="E35" s="153" t="s">
        <v>385</v>
      </c>
      <c r="F35" s="72" t="s">
        <v>373</v>
      </c>
      <c r="G35" s="73">
        <v>83</v>
      </c>
      <c r="H35" s="121" t="e">
        <f>'1 - Direct_DK_BoQ'!#REF!*'0 - Summary'!$H$19</f>
        <v>#REF!</v>
      </c>
      <c r="I35" s="121" t="e">
        <f>'1 - Direct_DK_BoQ'!#REF!*'0 - Summary'!$G$15</f>
        <v>#REF!</v>
      </c>
      <c r="J35" s="157" t="e">
        <f>(H35+I35)*G35</f>
        <v>#REF!</v>
      </c>
      <c r="K35" s="128" t="e">
        <f>H35*G35</f>
        <v>#REF!</v>
      </c>
      <c r="L35" s="128" t="e">
        <f>I35*G35</f>
        <v>#REF!</v>
      </c>
      <c r="M35" s="127" t="e">
        <f>SUM(K35:L35)</f>
        <v>#REF!</v>
      </c>
    </row>
    <row r="36" spans="2:13" s="23" customFormat="1" ht="18" customHeight="1">
      <c r="B36" s="116">
        <v>1</v>
      </c>
      <c r="C36" s="117">
        <v>6</v>
      </c>
      <c r="D36" s="117">
        <v>0</v>
      </c>
      <c r="E36" s="118" t="s">
        <v>396</v>
      </c>
      <c r="F36" s="85"/>
      <c r="G36" s="119"/>
      <c r="H36" s="126"/>
      <c r="I36" s="126"/>
      <c r="J36" s="209" t="e">
        <f>SUM(J37:J39)</f>
        <v>#DIV/0!</v>
      </c>
      <c r="K36" s="209" t="e">
        <f>SUM(K37:K39)</f>
        <v>#DIV/0!</v>
      </c>
      <c r="L36" s="209" t="e">
        <f>SUM(L37:L39)</f>
        <v>#REF!</v>
      </c>
      <c r="M36" s="125" t="e">
        <f>SUM(M37:M39)</f>
        <v>#DIV/0!</v>
      </c>
    </row>
    <row r="37" spans="2:13" s="23" customFormat="1" ht="54">
      <c r="B37" s="74">
        <v>1</v>
      </c>
      <c r="C37" s="69">
        <v>6</v>
      </c>
      <c r="D37" s="70">
        <v>1</v>
      </c>
      <c r="E37" s="153" t="s">
        <v>397</v>
      </c>
      <c r="F37" s="72" t="s">
        <v>373</v>
      </c>
      <c r="G37" s="73">
        <v>43</v>
      </c>
      <c r="H37" s="121" t="e">
        <f>'1 - Direct_DK_BoQ'!J63*'0 - Summary'!$H$19</f>
        <v>#DIV/0!</v>
      </c>
      <c r="I37" s="121">
        <f>'1 - Direct_DK_BoQ'!K63*'0 - Summary'!$G$15</f>
        <v>3222.4704838501057</v>
      </c>
      <c r="J37" s="157" t="e">
        <f>(H37+I37)*G37</f>
        <v>#DIV/0!</v>
      </c>
      <c r="K37" s="128" t="e">
        <f>H37*G37</f>
        <v>#DIV/0!</v>
      </c>
      <c r="L37" s="128">
        <f>I37*G37</f>
        <v>138566.23080555454</v>
      </c>
      <c r="M37" s="127" t="e">
        <f>SUM(K37:L37)</f>
        <v>#DIV/0!</v>
      </c>
    </row>
    <row r="38" spans="2:13" s="23" customFormat="1" ht="18">
      <c r="B38" s="74">
        <v>1</v>
      </c>
      <c r="C38" s="69">
        <v>6</v>
      </c>
      <c r="D38" s="70">
        <v>2</v>
      </c>
      <c r="E38" s="153" t="s">
        <v>383</v>
      </c>
      <c r="F38" s="72" t="s">
        <v>373</v>
      </c>
      <c r="G38" s="73">
        <v>43</v>
      </c>
      <c r="H38" s="121" t="e">
        <f>'1 - Direct_DK_BoQ'!J64*'0 - Summary'!$H$19</f>
        <v>#DIV/0!</v>
      </c>
      <c r="I38" s="121">
        <f>'1 - Direct_DK_BoQ'!K64*'0 - Summary'!$G$15</f>
        <v>3222.4704838501057</v>
      </c>
      <c r="J38" s="157" t="e">
        <f>(H38+I38)*G38</f>
        <v>#DIV/0!</v>
      </c>
      <c r="K38" s="128" t="e">
        <f>H38*G38</f>
        <v>#DIV/0!</v>
      </c>
      <c r="L38" s="128">
        <f>I38*G38</f>
        <v>138566.23080555454</v>
      </c>
      <c r="M38" s="127" t="e">
        <f>SUM(K38:L38)</f>
        <v>#DIV/0!</v>
      </c>
    </row>
    <row r="39" spans="2:13" s="23" customFormat="1" ht="18">
      <c r="B39" s="74">
        <v>1</v>
      </c>
      <c r="C39" s="69">
        <v>6</v>
      </c>
      <c r="D39" s="70">
        <v>3</v>
      </c>
      <c r="E39" s="153" t="s">
        <v>384</v>
      </c>
      <c r="F39" s="72" t="s">
        <v>373</v>
      </c>
      <c r="G39" s="73">
        <v>43</v>
      </c>
      <c r="H39" s="121" t="e">
        <f>'1 - Direct_DK_BoQ'!#REF!*'0 - Summary'!$H$19</f>
        <v>#REF!</v>
      </c>
      <c r="I39" s="121" t="e">
        <f>'1 - Direct_DK_BoQ'!#REF!*'0 - Summary'!$G$15</f>
        <v>#REF!</v>
      </c>
      <c r="J39" s="157" t="e">
        <f>(H39+I39)*G39</f>
        <v>#REF!</v>
      </c>
      <c r="K39" s="128" t="e">
        <f>H39*G39</f>
        <v>#REF!</v>
      </c>
      <c r="L39" s="128" t="e">
        <f>I39*G39</f>
        <v>#REF!</v>
      </c>
      <c r="M39" s="127" t="e">
        <f>SUM(K39:L39)</f>
        <v>#REF!</v>
      </c>
    </row>
    <row r="40" spans="2:13" s="23" customFormat="1" ht="36">
      <c r="B40" s="74">
        <v>1</v>
      </c>
      <c r="C40" s="69">
        <v>6</v>
      </c>
      <c r="D40" s="70">
        <v>4</v>
      </c>
      <c r="E40" s="153" t="s">
        <v>385</v>
      </c>
      <c r="F40" s="72" t="s">
        <v>373</v>
      </c>
      <c r="G40" s="73">
        <v>43</v>
      </c>
      <c r="H40" s="121" t="e">
        <f>'1 - Direct_DK_BoQ'!#REF!*'0 - Summary'!$H$19</f>
        <v>#REF!</v>
      </c>
      <c r="I40" s="121" t="e">
        <f>'1 - Direct_DK_BoQ'!#REF!*'0 - Summary'!$G$15</f>
        <v>#REF!</v>
      </c>
      <c r="J40" s="157" t="e">
        <f>(H40+I40)*G40</f>
        <v>#REF!</v>
      </c>
      <c r="K40" s="128" t="e">
        <f>H40*G40</f>
        <v>#REF!</v>
      </c>
      <c r="L40" s="128" t="e">
        <f>I40*G40</f>
        <v>#REF!</v>
      </c>
      <c r="M40" s="127" t="e">
        <f>SUM(K40:L40)</f>
        <v>#REF!</v>
      </c>
    </row>
    <row r="41" spans="2:13" s="23" customFormat="1" ht="18" customHeight="1">
      <c r="B41" s="82">
        <v>1</v>
      </c>
      <c r="C41" s="83">
        <v>7</v>
      </c>
      <c r="D41" s="83">
        <v>0</v>
      </c>
      <c r="E41" s="84" t="s">
        <v>398</v>
      </c>
      <c r="F41" s="85"/>
      <c r="G41" s="86"/>
      <c r="H41" s="126"/>
      <c r="I41" s="126"/>
      <c r="J41" s="209" t="e">
        <f>SUM(J42:J44)</f>
        <v>#REF!</v>
      </c>
      <c r="K41" s="209" t="e">
        <f>SUM(K42:K44)</f>
        <v>#REF!</v>
      </c>
      <c r="L41" s="209" t="e">
        <f>SUM(L42:L44)</f>
        <v>#REF!</v>
      </c>
      <c r="M41" s="125" t="e">
        <f>SUM(M42:M44)</f>
        <v>#REF!</v>
      </c>
    </row>
    <row r="42" spans="2:13" s="23" customFormat="1" ht="18">
      <c r="B42" s="74">
        <v>1</v>
      </c>
      <c r="C42" s="69">
        <v>7</v>
      </c>
      <c r="D42" s="70">
        <v>1</v>
      </c>
      <c r="E42" s="71" t="s">
        <v>399</v>
      </c>
      <c r="F42" s="72" t="s">
        <v>373</v>
      </c>
      <c r="G42" s="73">
        <v>9</v>
      </c>
      <c r="H42" s="121" t="e">
        <f>'1 - Direct_DK_BoQ'!#REF!*'0 - Summary'!$H$19</f>
        <v>#REF!</v>
      </c>
      <c r="I42" s="121" t="e">
        <f>'1 - Direct_DK_BoQ'!#REF!*'0 - Summary'!$G$15</f>
        <v>#REF!</v>
      </c>
      <c r="J42" s="157" t="e">
        <f>(H42+I42)*G42</f>
        <v>#REF!</v>
      </c>
      <c r="K42" s="128" t="e">
        <f>H42*G42</f>
        <v>#REF!</v>
      </c>
      <c r="L42" s="128" t="e">
        <f>I42*G42</f>
        <v>#REF!</v>
      </c>
      <c r="M42" s="127" t="e">
        <f>SUM(K42:L42)</f>
        <v>#REF!</v>
      </c>
    </row>
    <row r="43" spans="2:13" s="23" customFormat="1" ht="18">
      <c r="B43" s="74">
        <v>1</v>
      </c>
      <c r="C43" s="69">
        <v>7</v>
      </c>
      <c r="D43" s="70">
        <v>2</v>
      </c>
      <c r="E43" s="71" t="s">
        <v>388</v>
      </c>
      <c r="F43" s="72" t="s">
        <v>373</v>
      </c>
      <c r="G43" s="73">
        <v>9</v>
      </c>
      <c r="H43" s="121" t="e">
        <f>'1 - Direct_DK_BoQ'!#REF!*'0 - Summary'!$H$19</f>
        <v>#REF!</v>
      </c>
      <c r="I43" s="121" t="e">
        <f>'1 - Direct_DK_BoQ'!#REF!*'0 - Summary'!$G$15</f>
        <v>#REF!</v>
      </c>
      <c r="J43" s="157" t="e">
        <f>(H43+I43)*G43</f>
        <v>#REF!</v>
      </c>
      <c r="K43" s="128" t="e">
        <f>H43*G43</f>
        <v>#REF!</v>
      </c>
      <c r="L43" s="128" t="e">
        <f>I43*G43</f>
        <v>#REF!</v>
      </c>
      <c r="M43" s="127" t="e">
        <f>SUM(K43:L43)</f>
        <v>#REF!</v>
      </c>
    </row>
    <row r="44" spans="2:13" s="23" customFormat="1" ht="18">
      <c r="B44" s="74">
        <v>1</v>
      </c>
      <c r="C44" s="69">
        <v>7</v>
      </c>
      <c r="D44" s="70">
        <v>3</v>
      </c>
      <c r="E44" s="71" t="s">
        <v>389</v>
      </c>
      <c r="F44" s="72" t="s">
        <v>373</v>
      </c>
      <c r="G44" s="73">
        <v>9</v>
      </c>
      <c r="H44" s="121" t="e">
        <f>'1 - Direct_DK_BoQ'!#REF!*'0 - Summary'!$H$19</f>
        <v>#REF!</v>
      </c>
      <c r="I44" s="121" t="e">
        <f>'1 - Direct_DK_BoQ'!#REF!*'0 - Summary'!$G$15</f>
        <v>#REF!</v>
      </c>
      <c r="J44" s="157" t="e">
        <f>(H44+I44)*G44</f>
        <v>#REF!</v>
      </c>
      <c r="K44" s="128" t="e">
        <f>H44*G44</f>
        <v>#REF!</v>
      </c>
      <c r="L44" s="128" t="e">
        <f>I44*G44</f>
        <v>#REF!</v>
      </c>
      <c r="M44" s="127" t="e">
        <f>SUM(K44:L44)</f>
        <v>#REF!</v>
      </c>
    </row>
    <row r="45" spans="2:13" s="23" customFormat="1" ht="18" customHeight="1">
      <c r="B45" s="82">
        <v>1</v>
      </c>
      <c r="C45" s="83">
        <v>8</v>
      </c>
      <c r="D45" s="83">
        <v>0</v>
      </c>
      <c r="E45" s="84" t="s">
        <v>400</v>
      </c>
      <c r="F45" s="85"/>
      <c r="G45" s="86"/>
      <c r="H45" s="126"/>
      <c r="I45" s="126"/>
      <c r="J45" s="209" t="e">
        <f>SUM(J46:J48)</f>
        <v>#REF!</v>
      </c>
      <c r="K45" s="209" t="e">
        <f>SUM(K46:K48)</f>
        <v>#REF!</v>
      </c>
      <c r="L45" s="209" t="e">
        <f>SUM(L46:L48)</f>
        <v>#REF!</v>
      </c>
      <c r="M45" s="125" t="e">
        <f>SUM(M46:M48)</f>
        <v>#REF!</v>
      </c>
    </row>
    <row r="46" spans="2:13" s="23" customFormat="1" ht="54">
      <c r="B46" s="74">
        <v>1</v>
      </c>
      <c r="C46" s="69">
        <v>8</v>
      </c>
      <c r="D46" s="70">
        <v>1</v>
      </c>
      <c r="E46" s="71" t="s">
        <v>401</v>
      </c>
      <c r="F46" s="72" t="s">
        <v>373</v>
      </c>
      <c r="G46" s="73">
        <v>8</v>
      </c>
      <c r="H46" s="121" t="e">
        <f>'1 - Direct_DK_BoQ'!#REF!*'0 - Summary'!$H$19</f>
        <v>#REF!</v>
      </c>
      <c r="I46" s="121" t="e">
        <f>'1 - Direct_DK_BoQ'!#REF!*'0 - Summary'!$G$15</f>
        <v>#REF!</v>
      </c>
      <c r="J46" s="157" t="e">
        <f>(H46+I46)*G46</f>
        <v>#REF!</v>
      </c>
      <c r="K46" s="128" t="e">
        <f>H46*G46</f>
        <v>#REF!</v>
      </c>
      <c r="L46" s="128" t="e">
        <f>I46*G46</f>
        <v>#REF!</v>
      </c>
      <c r="M46" s="127" t="e">
        <f>SUM(K46:L46)</f>
        <v>#REF!</v>
      </c>
    </row>
    <row r="47" spans="2:13" s="23" customFormat="1" ht="18">
      <c r="B47" s="74">
        <v>1</v>
      </c>
      <c r="C47" s="69">
        <v>8</v>
      </c>
      <c r="D47" s="70">
        <v>2</v>
      </c>
      <c r="E47" s="71" t="s">
        <v>383</v>
      </c>
      <c r="F47" s="72" t="s">
        <v>373</v>
      </c>
      <c r="G47" s="73">
        <v>8</v>
      </c>
      <c r="H47" s="121" t="e">
        <f>'1 - Direct_DK_BoQ'!#REF!*'0 - Summary'!$H$19</f>
        <v>#REF!</v>
      </c>
      <c r="I47" s="121" t="e">
        <f>'1 - Direct_DK_BoQ'!#REF!*'0 - Summary'!$G$15</f>
        <v>#REF!</v>
      </c>
      <c r="J47" s="157" t="e">
        <f>(H47+I47)*G47</f>
        <v>#REF!</v>
      </c>
      <c r="K47" s="128" t="e">
        <f>H47*G47</f>
        <v>#REF!</v>
      </c>
      <c r="L47" s="128" t="e">
        <f>I47*G47</f>
        <v>#REF!</v>
      </c>
      <c r="M47" s="127" t="e">
        <f>SUM(K47:L47)</f>
        <v>#REF!</v>
      </c>
    </row>
    <row r="48" spans="2:13" s="23" customFormat="1" ht="18">
      <c r="B48" s="74">
        <v>1</v>
      </c>
      <c r="C48" s="69">
        <v>8</v>
      </c>
      <c r="D48" s="70">
        <v>3</v>
      </c>
      <c r="E48" s="71" t="s">
        <v>384</v>
      </c>
      <c r="F48" s="72" t="s">
        <v>373</v>
      </c>
      <c r="G48" s="73">
        <v>8</v>
      </c>
      <c r="H48" s="121" t="e">
        <f>'1 - Direct_DK_BoQ'!#REF!*'0 - Summary'!$H$19</f>
        <v>#REF!</v>
      </c>
      <c r="I48" s="121" t="e">
        <f>'1 - Direct_DK_BoQ'!#REF!*'0 - Summary'!$G$15</f>
        <v>#REF!</v>
      </c>
      <c r="J48" s="157" t="e">
        <f>(H48+I48)*G48</f>
        <v>#REF!</v>
      </c>
      <c r="K48" s="128" t="e">
        <f>H48*G48</f>
        <v>#REF!</v>
      </c>
      <c r="L48" s="128" t="e">
        <f>I48*G48</f>
        <v>#REF!</v>
      </c>
      <c r="M48" s="127" t="e">
        <f>SUM(K48:L48)</f>
        <v>#REF!</v>
      </c>
    </row>
    <row r="49" spans="2:13" s="23" customFormat="1" ht="36">
      <c r="B49" s="74">
        <v>1</v>
      </c>
      <c r="C49" s="69">
        <v>8</v>
      </c>
      <c r="D49" s="70">
        <v>4</v>
      </c>
      <c r="E49" s="71" t="s">
        <v>385</v>
      </c>
      <c r="F49" s="72" t="s">
        <v>373</v>
      </c>
      <c r="G49" s="73">
        <v>8</v>
      </c>
      <c r="H49" s="121" t="e">
        <f>'1 - Direct_DK_BoQ'!#REF!*'0 - Summary'!$H$19</f>
        <v>#REF!</v>
      </c>
      <c r="I49" s="121" t="e">
        <f>'1 - Direct_DK_BoQ'!#REF!*'0 - Summary'!$G$15</f>
        <v>#REF!</v>
      </c>
      <c r="J49" s="157" t="e">
        <f>(H49+I49)*G49</f>
        <v>#REF!</v>
      </c>
      <c r="K49" s="128" t="e">
        <f>H49*G49</f>
        <v>#REF!</v>
      </c>
      <c r="L49" s="128" t="e">
        <f>I49*G49</f>
        <v>#REF!</v>
      </c>
      <c r="M49" s="127" t="e">
        <f>SUM(K49:L49)</f>
        <v>#REF!</v>
      </c>
    </row>
    <row r="50" spans="2:13" s="23" customFormat="1" ht="18" customHeight="1">
      <c r="B50" s="116">
        <v>1</v>
      </c>
      <c r="C50" s="117">
        <v>9</v>
      </c>
      <c r="D50" s="117">
        <v>0</v>
      </c>
      <c r="E50" s="118" t="s">
        <v>402</v>
      </c>
      <c r="F50" s="85"/>
      <c r="G50" s="119"/>
      <c r="H50" s="126"/>
      <c r="I50" s="126"/>
      <c r="J50" s="209" t="e">
        <f>SUM(J51:J53)</f>
        <v>#REF!</v>
      </c>
      <c r="K50" s="209" t="e">
        <f>SUM(K51:K53)</f>
        <v>#REF!</v>
      </c>
      <c r="L50" s="209" t="e">
        <f>SUM(L51:L53)</f>
        <v>#REF!</v>
      </c>
      <c r="M50" s="125" t="e">
        <f>SUM(M51:M53)</f>
        <v>#REF!</v>
      </c>
    </row>
    <row r="51" spans="2:13" s="23" customFormat="1" ht="18">
      <c r="B51" s="74">
        <v>1</v>
      </c>
      <c r="C51" s="69">
        <v>9</v>
      </c>
      <c r="D51" s="70">
        <v>1</v>
      </c>
      <c r="E51" s="153" t="s">
        <v>403</v>
      </c>
      <c r="F51" s="72" t="s">
        <v>373</v>
      </c>
      <c r="G51" s="73">
        <v>55</v>
      </c>
      <c r="H51" s="121" t="e">
        <f>'1 - Direct_DK_BoQ'!#REF!*'0 - Summary'!$H$19</f>
        <v>#REF!</v>
      </c>
      <c r="I51" s="121" t="e">
        <f>'1 - Direct_DK_BoQ'!#REF!*'0 - Summary'!$G$15</f>
        <v>#REF!</v>
      </c>
      <c r="J51" s="157" t="e">
        <f>(H51+I51)*G51</f>
        <v>#REF!</v>
      </c>
      <c r="K51" s="128" t="e">
        <f>H51*G51</f>
        <v>#REF!</v>
      </c>
      <c r="L51" s="128" t="e">
        <f>I51*G51</f>
        <v>#REF!</v>
      </c>
      <c r="M51" s="127" t="e">
        <f>SUM(K51:L51)</f>
        <v>#REF!</v>
      </c>
    </row>
    <row r="52" spans="2:13" s="23" customFormat="1" ht="18">
      <c r="B52" s="74">
        <v>1</v>
      </c>
      <c r="C52" s="69">
        <v>9</v>
      </c>
      <c r="D52" s="70">
        <v>2</v>
      </c>
      <c r="E52" s="153" t="s">
        <v>383</v>
      </c>
      <c r="F52" s="72" t="s">
        <v>373</v>
      </c>
      <c r="G52" s="73">
        <v>55</v>
      </c>
      <c r="H52" s="121" t="e">
        <f>'1 - Direct_DK_BoQ'!#REF!*'0 - Summary'!$H$19</f>
        <v>#REF!</v>
      </c>
      <c r="I52" s="121" t="e">
        <f>'1 - Direct_DK_BoQ'!#REF!*'0 - Summary'!$G$15</f>
        <v>#REF!</v>
      </c>
      <c r="J52" s="157" t="e">
        <f>(H52+I52)*G52</f>
        <v>#REF!</v>
      </c>
      <c r="K52" s="128" t="e">
        <f>H52*G52</f>
        <v>#REF!</v>
      </c>
      <c r="L52" s="128" t="e">
        <f>I52*G52</f>
        <v>#REF!</v>
      </c>
      <c r="M52" s="127" t="e">
        <f>SUM(K52:L52)</f>
        <v>#REF!</v>
      </c>
    </row>
    <row r="53" spans="2:13" s="23" customFormat="1" ht="18">
      <c r="B53" s="74">
        <v>1</v>
      </c>
      <c r="C53" s="69">
        <v>9</v>
      </c>
      <c r="D53" s="70">
        <v>3</v>
      </c>
      <c r="E53" s="153" t="s">
        <v>384</v>
      </c>
      <c r="F53" s="72" t="s">
        <v>373</v>
      </c>
      <c r="G53" s="73">
        <v>55</v>
      </c>
      <c r="H53" s="121" t="e">
        <f>'1 - Direct_DK_BoQ'!#REF!*'0 - Summary'!$H$19</f>
        <v>#REF!</v>
      </c>
      <c r="I53" s="121" t="e">
        <f>'1 - Direct_DK_BoQ'!#REF!*'0 - Summary'!$G$15</f>
        <v>#REF!</v>
      </c>
      <c r="J53" s="157" t="e">
        <f>(H53+I53)*G53</f>
        <v>#REF!</v>
      </c>
      <c r="K53" s="128" t="e">
        <f>H53*G53</f>
        <v>#REF!</v>
      </c>
      <c r="L53" s="128" t="e">
        <f>I53*G53</f>
        <v>#REF!</v>
      </c>
      <c r="M53" s="127" t="e">
        <f>SUM(K53:L53)</f>
        <v>#REF!</v>
      </c>
    </row>
    <row r="54" spans="2:13" s="23" customFormat="1" ht="36">
      <c r="B54" s="74">
        <v>1</v>
      </c>
      <c r="C54" s="69">
        <v>9</v>
      </c>
      <c r="D54" s="70">
        <v>4</v>
      </c>
      <c r="E54" s="153" t="s">
        <v>385</v>
      </c>
      <c r="F54" s="72" t="s">
        <v>373</v>
      </c>
      <c r="G54" s="73">
        <v>55</v>
      </c>
      <c r="H54" s="121" t="e">
        <f>'1 - Direct_DK_BoQ'!#REF!*'0 - Summary'!$H$19</f>
        <v>#REF!</v>
      </c>
      <c r="I54" s="121" t="e">
        <f>'1 - Direct_DK_BoQ'!#REF!*'0 - Summary'!$G$15</f>
        <v>#REF!</v>
      </c>
      <c r="J54" s="157" t="e">
        <f>(H54+I54)*G54</f>
        <v>#REF!</v>
      </c>
      <c r="K54" s="128" t="e">
        <f>H54*G54</f>
        <v>#REF!</v>
      </c>
      <c r="L54" s="128" t="e">
        <f>I54*G54</f>
        <v>#REF!</v>
      </c>
      <c r="M54" s="127" t="e">
        <f>SUM(K54:L54)</f>
        <v>#REF!</v>
      </c>
    </row>
    <row r="55" spans="2:13" s="23" customFormat="1" ht="18" customHeight="1">
      <c r="B55" s="82">
        <v>1</v>
      </c>
      <c r="C55" s="83">
        <v>10</v>
      </c>
      <c r="D55" s="83">
        <v>0</v>
      </c>
      <c r="E55" s="84" t="s">
        <v>404</v>
      </c>
      <c r="F55" s="85"/>
      <c r="G55" s="86"/>
      <c r="H55" s="126"/>
      <c r="I55" s="126"/>
      <c r="J55" s="209" t="e">
        <f>SUM(J56:J58)</f>
        <v>#REF!</v>
      </c>
      <c r="K55" s="209" t="e">
        <f>SUM(K56:K58)</f>
        <v>#REF!</v>
      </c>
      <c r="L55" s="209" t="e">
        <f>SUM(L56:L58)</f>
        <v>#REF!</v>
      </c>
      <c r="M55" s="125" t="e">
        <f>SUM(M56:M58)</f>
        <v>#REF!</v>
      </c>
    </row>
    <row r="56" spans="2:13" s="23" customFormat="1" ht="36">
      <c r="B56" s="74">
        <v>1</v>
      </c>
      <c r="C56" s="69">
        <v>10</v>
      </c>
      <c r="D56" s="70">
        <v>1</v>
      </c>
      <c r="E56" s="71" t="s">
        <v>405</v>
      </c>
      <c r="F56" s="72" t="s">
        <v>373</v>
      </c>
      <c r="G56" s="73">
        <v>160</v>
      </c>
      <c r="H56" s="121" t="e">
        <f>'1 - Direct_DK_BoQ'!#REF!*'0 - Summary'!$H$19</f>
        <v>#REF!</v>
      </c>
      <c r="I56" s="121" t="e">
        <f>'1 - Direct_DK_BoQ'!#REF!*'0 - Summary'!$G$15</f>
        <v>#REF!</v>
      </c>
      <c r="J56" s="157" t="e">
        <f>(H56+I56)*G56</f>
        <v>#REF!</v>
      </c>
      <c r="K56" s="128" t="e">
        <f>H56*G56</f>
        <v>#REF!</v>
      </c>
      <c r="L56" s="128" t="e">
        <f>I56*G56</f>
        <v>#REF!</v>
      </c>
      <c r="M56" s="127" t="e">
        <f>SUM(K56:L56)</f>
        <v>#REF!</v>
      </c>
    </row>
    <row r="57" spans="2:13" s="23" customFormat="1" ht="18">
      <c r="B57" s="74">
        <v>1</v>
      </c>
      <c r="C57" s="69">
        <v>10</v>
      </c>
      <c r="D57" s="70">
        <v>2</v>
      </c>
      <c r="E57" s="71" t="s">
        <v>383</v>
      </c>
      <c r="F57" s="72" t="s">
        <v>373</v>
      </c>
      <c r="G57" s="73">
        <v>160</v>
      </c>
      <c r="H57" s="121" t="e">
        <f>'1 - Direct_DK_BoQ'!#REF!*'0 - Summary'!$H$19</f>
        <v>#REF!</v>
      </c>
      <c r="I57" s="121" t="e">
        <f>'1 - Direct_DK_BoQ'!#REF!*'0 - Summary'!$G$15</f>
        <v>#REF!</v>
      </c>
      <c r="J57" s="157" t="e">
        <f>(H57+I57)*G57</f>
        <v>#REF!</v>
      </c>
      <c r="K57" s="128" t="e">
        <f>H57*G57</f>
        <v>#REF!</v>
      </c>
      <c r="L57" s="128" t="e">
        <f>I57*G57</f>
        <v>#REF!</v>
      </c>
      <c r="M57" s="127" t="e">
        <f>SUM(K57:L57)</f>
        <v>#REF!</v>
      </c>
    </row>
    <row r="58" spans="2:13" s="23" customFormat="1" ht="18">
      <c r="B58" s="74">
        <v>1</v>
      </c>
      <c r="C58" s="69">
        <v>10</v>
      </c>
      <c r="D58" s="70">
        <v>3</v>
      </c>
      <c r="E58" s="71" t="s">
        <v>384</v>
      </c>
      <c r="F58" s="72" t="s">
        <v>373</v>
      </c>
      <c r="G58" s="73">
        <v>160</v>
      </c>
      <c r="H58" s="121" t="e">
        <f>'1 - Direct_DK_BoQ'!#REF!*'0 - Summary'!$H$19</f>
        <v>#REF!</v>
      </c>
      <c r="I58" s="121" t="e">
        <f>'1 - Direct_DK_BoQ'!#REF!*'0 - Summary'!$G$15</f>
        <v>#REF!</v>
      </c>
      <c r="J58" s="157" t="e">
        <f>(H58+I58)*G58</f>
        <v>#REF!</v>
      </c>
      <c r="K58" s="128" t="e">
        <f>H58*G58</f>
        <v>#REF!</v>
      </c>
      <c r="L58" s="128" t="e">
        <f>I58*G58</f>
        <v>#REF!</v>
      </c>
      <c r="M58" s="127" t="e">
        <f>SUM(K58:L58)</f>
        <v>#REF!</v>
      </c>
    </row>
    <row r="59" spans="2:13" s="23" customFormat="1" ht="36">
      <c r="B59" s="74">
        <v>1</v>
      </c>
      <c r="C59" s="69">
        <v>10</v>
      </c>
      <c r="D59" s="70">
        <v>4</v>
      </c>
      <c r="E59" s="71" t="s">
        <v>385</v>
      </c>
      <c r="F59" s="72" t="s">
        <v>373</v>
      </c>
      <c r="G59" s="73">
        <v>160</v>
      </c>
      <c r="H59" s="121" t="e">
        <f>'1 - Direct_DK_BoQ'!#REF!*'0 - Summary'!$H$19</f>
        <v>#REF!</v>
      </c>
      <c r="I59" s="121" t="e">
        <f>'1 - Direct_DK_BoQ'!#REF!*'0 - Summary'!$G$15</f>
        <v>#REF!</v>
      </c>
      <c r="J59" s="157" t="e">
        <f>(H59+I59)*G59</f>
        <v>#REF!</v>
      </c>
      <c r="K59" s="128" t="e">
        <f>H59*G59</f>
        <v>#REF!</v>
      </c>
      <c r="L59" s="128" t="e">
        <f>I59*G59</f>
        <v>#REF!</v>
      </c>
      <c r="M59" s="127" t="e">
        <f>SUM(K59:L59)</f>
        <v>#REF!</v>
      </c>
    </row>
    <row r="60" spans="2:13" s="23" customFormat="1" ht="18" customHeight="1">
      <c r="B60" s="82">
        <v>1</v>
      </c>
      <c r="C60" s="83">
        <v>11</v>
      </c>
      <c r="D60" s="83">
        <v>0</v>
      </c>
      <c r="E60" s="84" t="s">
        <v>406</v>
      </c>
      <c r="F60" s="85"/>
      <c r="G60" s="86"/>
      <c r="H60" s="126"/>
      <c r="I60" s="126"/>
      <c r="J60" s="209" t="e">
        <f>SUM(J61:J63)</f>
        <v>#REF!</v>
      </c>
      <c r="K60" s="209" t="e">
        <f>SUM(K61:K63)</f>
        <v>#REF!</v>
      </c>
      <c r="L60" s="209" t="e">
        <f>SUM(L61:L63)</f>
        <v>#REF!</v>
      </c>
      <c r="M60" s="125" t="e">
        <f>SUM(M61:M63)</f>
        <v>#REF!</v>
      </c>
    </row>
    <row r="61" spans="2:13" s="23" customFormat="1" ht="36">
      <c r="B61" s="74">
        <v>1</v>
      </c>
      <c r="C61" s="69">
        <v>11</v>
      </c>
      <c r="D61" s="70">
        <v>1</v>
      </c>
      <c r="E61" s="71" t="s">
        <v>407</v>
      </c>
      <c r="F61" s="72" t="s">
        <v>373</v>
      </c>
      <c r="G61" s="73">
        <v>27</v>
      </c>
      <c r="H61" s="121" t="e">
        <f>'1 - Direct_DK_BoQ'!#REF!*'0 - Summary'!$H$19</f>
        <v>#REF!</v>
      </c>
      <c r="I61" s="121" t="e">
        <f>'1 - Direct_DK_BoQ'!#REF!*'0 - Summary'!$G$15</f>
        <v>#REF!</v>
      </c>
      <c r="J61" s="157" t="e">
        <f>(H61+I61)*G61</f>
        <v>#REF!</v>
      </c>
      <c r="K61" s="128" t="e">
        <f>H61*G61</f>
        <v>#REF!</v>
      </c>
      <c r="L61" s="128" t="e">
        <f>I61*G61</f>
        <v>#REF!</v>
      </c>
      <c r="M61" s="127" t="e">
        <f>SUM(K61:L61)</f>
        <v>#REF!</v>
      </c>
    </row>
    <row r="62" spans="2:13" s="23" customFormat="1" ht="18">
      <c r="B62" s="74">
        <v>1</v>
      </c>
      <c r="C62" s="69">
        <v>11</v>
      </c>
      <c r="D62" s="70">
        <v>2</v>
      </c>
      <c r="E62" s="71" t="s">
        <v>383</v>
      </c>
      <c r="F62" s="72" t="s">
        <v>373</v>
      </c>
      <c r="G62" s="73">
        <v>27</v>
      </c>
      <c r="H62" s="121" t="e">
        <f>'1 - Direct_DK_BoQ'!#REF!*'0 - Summary'!$H$19</f>
        <v>#REF!</v>
      </c>
      <c r="I62" s="121" t="e">
        <f>'1 - Direct_DK_BoQ'!#REF!*'0 - Summary'!$G$15</f>
        <v>#REF!</v>
      </c>
      <c r="J62" s="157" t="e">
        <f>(H62+I62)*G62</f>
        <v>#REF!</v>
      </c>
      <c r="K62" s="128" t="e">
        <f>H62*G62</f>
        <v>#REF!</v>
      </c>
      <c r="L62" s="128" t="e">
        <f>I62*G62</f>
        <v>#REF!</v>
      </c>
      <c r="M62" s="127" t="e">
        <f>SUM(K62:L62)</f>
        <v>#REF!</v>
      </c>
    </row>
    <row r="63" spans="2:13" s="23" customFormat="1" ht="18">
      <c r="B63" s="74">
        <v>1</v>
      </c>
      <c r="C63" s="69">
        <v>11</v>
      </c>
      <c r="D63" s="70">
        <v>3</v>
      </c>
      <c r="E63" s="71" t="s">
        <v>384</v>
      </c>
      <c r="F63" s="72" t="s">
        <v>373</v>
      </c>
      <c r="G63" s="73">
        <v>27</v>
      </c>
      <c r="H63" s="121" t="e">
        <f>'1 - Direct_DK_BoQ'!#REF!*'0 - Summary'!$H$19</f>
        <v>#REF!</v>
      </c>
      <c r="I63" s="121" t="e">
        <f>'1 - Direct_DK_BoQ'!#REF!*'0 - Summary'!$G$15</f>
        <v>#REF!</v>
      </c>
      <c r="J63" s="157" t="e">
        <f>(H63+I63)*G63</f>
        <v>#REF!</v>
      </c>
      <c r="K63" s="128" t="e">
        <f>H63*G63</f>
        <v>#REF!</v>
      </c>
      <c r="L63" s="128" t="e">
        <f>I63*G63</f>
        <v>#REF!</v>
      </c>
      <c r="M63" s="127" t="e">
        <f>SUM(K63:L63)</f>
        <v>#REF!</v>
      </c>
    </row>
    <row r="64" spans="2:13" s="23" customFormat="1" ht="36">
      <c r="B64" s="74">
        <v>1</v>
      </c>
      <c r="C64" s="69">
        <v>11</v>
      </c>
      <c r="D64" s="70">
        <v>4</v>
      </c>
      <c r="E64" s="71" t="s">
        <v>385</v>
      </c>
      <c r="F64" s="72" t="s">
        <v>373</v>
      </c>
      <c r="G64" s="73">
        <v>27</v>
      </c>
      <c r="H64" s="121" t="e">
        <f>'1 - Direct_DK_BoQ'!#REF!*'0 - Summary'!$H$19</f>
        <v>#REF!</v>
      </c>
      <c r="I64" s="121" t="e">
        <f>'1 - Direct_DK_BoQ'!#REF!*'0 - Summary'!$G$15</f>
        <v>#REF!</v>
      </c>
      <c r="J64" s="157" t="e">
        <f>(H64+I64)*G64</f>
        <v>#REF!</v>
      </c>
      <c r="K64" s="128" t="e">
        <f>H64*G64</f>
        <v>#REF!</v>
      </c>
      <c r="L64" s="128" t="e">
        <f>I64*G64</f>
        <v>#REF!</v>
      </c>
      <c r="M64" s="127" t="e">
        <f>SUM(K64:L64)</f>
        <v>#REF!</v>
      </c>
    </row>
    <row r="65" spans="2:13" s="23" customFormat="1" ht="18" customHeight="1">
      <c r="B65" s="82">
        <v>1</v>
      </c>
      <c r="C65" s="83">
        <v>12</v>
      </c>
      <c r="D65" s="83">
        <v>0</v>
      </c>
      <c r="E65" s="84" t="s">
        <v>408</v>
      </c>
      <c r="F65" s="85"/>
      <c r="G65" s="86"/>
      <c r="H65" s="126"/>
      <c r="I65" s="126"/>
      <c r="J65" s="209" t="e">
        <f>SUM(J66:J68)</f>
        <v>#REF!</v>
      </c>
      <c r="K65" s="209" t="e">
        <f>SUM(K66:K68)</f>
        <v>#REF!</v>
      </c>
      <c r="L65" s="209" t="e">
        <f>SUM(L66:L68)</f>
        <v>#REF!</v>
      </c>
      <c r="M65" s="125" t="e">
        <f>SUM(M66:M68)</f>
        <v>#REF!</v>
      </c>
    </row>
    <row r="66" spans="2:13" s="23" customFormat="1" ht="36">
      <c r="B66" s="74">
        <v>1</v>
      </c>
      <c r="C66" s="69">
        <v>12</v>
      </c>
      <c r="D66" s="70">
        <v>1</v>
      </c>
      <c r="E66" s="71" t="s">
        <v>409</v>
      </c>
      <c r="F66" s="72" t="s">
        <v>373</v>
      </c>
      <c r="G66" s="73">
        <v>55</v>
      </c>
      <c r="H66" s="121" t="e">
        <f>'1 - Direct_DK_BoQ'!#REF!*'0 - Summary'!$H$19</f>
        <v>#REF!</v>
      </c>
      <c r="I66" s="121" t="e">
        <f>'1 - Direct_DK_BoQ'!#REF!*'0 - Summary'!$G$15</f>
        <v>#REF!</v>
      </c>
      <c r="J66" s="157" t="e">
        <f>(H66+I66)*G66</f>
        <v>#REF!</v>
      </c>
      <c r="K66" s="128" t="e">
        <f>H66*G66</f>
        <v>#REF!</v>
      </c>
      <c r="L66" s="128" t="e">
        <f>I66*G66</f>
        <v>#REF!</v>
      </c>
      <c r="M66" s="127" t="e">
        <f>SUM(K66:L66)</f>
        <v>#REF!</v>
      </c>
    </row>
    <row r="67" spans="2:13" s="23" customFormat="1" ht="17.399999999999999">
      <c r="B67" s="92">
        <v>2</v>
      </c>
      <c r="C67" s="93">
        <v>0</v>
      </c>
      <c r="D67" s="93">
        <v>0</v>
      </c>
      <c r="E67" s="114" t="s">
        <v>410</v>
      </c>
      <c r="F67" s="89"/>
      <c r="G67" s="115"/>
      <c r="H67" s="124"/>
      <c r="I67" s="124"/>
      <c r="J67" s="196" t="e">
        <f>J68+J74+J81+J86+J91+J97+J104+J111+J117+J122+J128</f>
        <v>#REF!</v>
      </c>
      <c r="K67" s="196" t="e">
        <f>K68+K74+K81+K86+K91+K97+K104+K111+K117+K122+K128</f>
        <v>#REF!</v>
      </c>
      <c r="L67" s="196" t="e">
        <f>L68+L74+L81+L86+L91+L97+L104+L111+L117+L122+L128</f>
        <v>#REF!</v>
      </c>
      <c r="M67" s="196" t="e">
        <f>M68+M74+M81+M86+M91+M97+M104+M111+M117+M122+M128</f>
        <v>#REF!</v>
      </c>
    </row>
    <row r="68" spans="2:13" s="23" customFormat="1" ht="18" customHeight="1">
      <c r="B68" s="116">
        <v>2</v>
      </c>
      <c r="C68" s="117">
        <v>1</v>
      </c>
      <c r="D68" s="117">
        <v>0</v>
      </c>
      <c r="E68" s="118" t="s">
        <v>411</v>
      </c>
      <c r="F68" s="85"/>
      <c r="G68" s="119"/>
      <c r="H68" s="126"/>
      <c r="I68" s="126"/>
      <c r="J68" s="209" t="e">
        <f>SUM(J69:J71)</f>
        <v>#REF!</v>
      </c>
      <c r="K68" s="209" t="e">
        <f>SUM(K69:K71)</f>
        <v>#REF!</v>
      </c>
      <c r="L68" s="209" t="e">
        <f>SUM(L69:L71)</f>
        <v>#REF!</v>
      </c>
      <c r="M68" s="125" t="e">
        <f>SUM(M69:M71)</f>
        <v>#REF!</v>
      </c>
    </row>
    <row r="69" spans="2:13" s="23" customFormat="1" ht="18">
      <c r="B69" s="74">
        <v>2</v>
      </c>
      <c r="C69" s="69">
        <v>1</v>
      </c>
      <c r="D69" s="70">
        <v>1</v>
      </c>
      <c r="E69" s="153" t="s">
        <v>412</v>
      </c>
      <c r="F69" s="72" t="s">
        <v>373</v>
      </c>
      <c r="G69" s="73">
        <v>116</v>
      </c>
      <c r="H69" s="121" t="e">
        <f>'1 - Direct_DK_BoQ'!#REF!*'0 - Summary'!$H$19</f>
        <v>#REF!</v>
      </c>
      <c r="I69" s="121" t="e">
        <f>'1 - Direct_DK_BoQ'!#REF!*'0 - Summary'!$G$15</f>
        <v>#REF!</v>
      </c>
      <c r="J69" s="157" t="e">
        <f>(H69+I69)*G69</f>
        <v>#REF!</v>
      </c>
      <c r="K69" s="128" t="e">
        <f>H69*G69</f>
        <v>#REF!</v>
      </c>
      <c r="L69" s="128" t="e">
        <f>I69*G69</f>
        <v>#REF!</v>
      </c>
      <c r="M69" s="127" t="e">
        <f>SUM(K69:L69)</f>
        <v>#REF!</v>
      </c>
    </row>
    <row r="70" spans="2:13" s="23" customFormat="1" ht="18">
      <c r="B70" s="74">
        <v>2</v>
      </c>
      <c r="C70" s="69">
        <v>1</v>
      </c>
      <c r="D70" s="70">
        <v>2</v>
      </c>
      <c r="E70" s="153" t="s">
        <v>413</v>
      </c>
      <c r="F70" s="72" t="s">
        <v>373</v>
      </c>
      <c r="G70" s="73">
        <v>116</v>
      </c>
      <c r="H70" s="121" t="e">
        <f>'1 - Direct_DK_BoQ'!#REF!*'0 - Summary'!$H$19</f>
        <v>#REF!</v>
      </c>
      <c r="I70" s="121" t="e">
        <f>'1 - Direct_DK_BoQ'!#REF!*'0 - Summary'!$G$15</f>
        <v>#REF!</v>
      </c>
      <c r="J70" s="157" t="e">
        <f>(H70+I70)*G70</f>
        <v>#REF!</v>
      </c>
      <c r="K70" s="128" t="e">
        <f>H70*G70</f>
        <v>#REF!</v>
      </c>
      <c r="L70" s="128" t="e">
        <f>I70*G70</f>
        <v>#REF!</v>
      </c>
      <c r="M70" s="127" t="e">
        <f>SUM(K70:L70)</f>
        <v>#REF!</v>
      </c>
    </row>
    <row r="71" spans="2:13" s="23" customFormat="1" ht="36">
      <c r="B71" s="74">
        <v>2</v>
      </c>
      <c r="C71" s="69">
        <v>1</v>
      </c>
      <c r="D71" s="70">
        <v>3</v>
      </c>
      <c r="E71" s="153" t="s">
        <v>414</v>
      </c>
      <c r="F71" s="72" t="s">
        <v>373</v>
      </c>
      <c r="G71" s="73">
        <v>116</v>
      </c>
      <c r="H71" s="121" t="e">
        <f>'1 - Direct_DK_BoQ'!#REF!*'0 - Summary'!$H$19</f>
        <v>#REF!</v>
      </c>
      <c r="I71" s="121" t="e">
        <f>'1 - Direct_DK_BoQ'!#REF!*'0 - Summary'!$G$15</f>
        <v>#REF!</v>
      </c>
      <c r="J71" s="157" t="e">
        <f>(H71+I71)*G71</f>
        <v>#REF!</v>
      </c>
      <c r="K71" s="128" t="e">
        <f>H71*G71</f>
        <v>#REF!</v>
      </c>
      <c r="L71" s="128" t="e">
        <f>I71*G71</f>
        <v>#REF!</v>
      </c>
      <c r="M71" s="127" t="e">
        <f>SUM(K71:L71)</f>
        <v>#REF!</v>
      </c>
    </row>
    <row r="72" spans="2:13" ht="18">
      <c r="B72" s="74">
        <v>2</v>
      </c>
      <c r="C72" s="69">
        <v>1</v>
      </c>
      <c r="D72" s="70">
        <v>4</v>
      </c>
      <c r="E72" s="153" t="s">
        <v>415</v>
      </c>
      <c r="F72" s="72" t="s">
        <v>373</v>
      </c>
      <c r="G72" s="73">
        <v>116</v>
      </c>
      <c r="H72" s="121" t="e">
        <f>'1 - Direct_DK_BoQ'!#REF!*'0 - Summary'!$H$19</f>
        <v>#REF!</v>
      </c>
      <c r="I72" s="121" t="e">
        <f>'1 - Direct_DK_BoQ'!#REF!*'0 - Summary'!$G$15</f>
        <v>#REF!</v>
      </c>
      <c r="J72" s="157" t="e">
        <f>(H72+I72)*G72</f>
        <v>#REF!</v>
      </c>
      <c r="K72" s="128" t="e">
        <f>H72*G72</f>
        <v>#REF!</v>
      </c>
      <c r="L72" s="128" t="e">
        <f>I72*G72</f>
        <v>#REF!</v>
      </c>
      <c r="M72" s="127" t="e">
        <f>SUM(K72:L72)</f>
        <v>#REF!</v>
      </c>
    </row>
    <row r="73" spans="2:13" ht="18">
      <c r="B73" s="74">
        <v>2</v>
      </c>
      <c r="C73" s="69">
        <v>1</v>
      </c>
      <c r="D73" s="70">
        <v>5</v>
      </c>
      <c r="E73" s="153" t="s">
        <v>416</v>
      </c>
      <c r="F73" s="72" t="s">
        <v>373</v>
      </c>
      <c r="G73" s="73">
        <v>116</v>
      </c>
      <c r="H73" s="121" t="e">
        <f>'1 - Direct_DK_BoQ'!#REF!*'0 - Summary'!$H$19</f>
        <v>#REF!</v>
      </c>
      <c r="I73" s="121" t="e">
        <f>'1 - Direct_DK_BoQ'!#REF!*'0 - Summary'!$G$15</f>
        <v>#REF!</v>
      </c>
      <c r="J73" s="157" t="e">
        <f>(H73+I73)*G73</f>
        <v>#REF!</v>
      </c>
      <c r="K73" s="128" t="e">
        <f>H73*G73</f>
        <v>#REF!</v>
      </c>
      <c r="L73" s="128" t="e">
        <f>I73*G73</f>
        <v>#REF!</v>
      </c>
      <c r="M73" s="127" t="e">
        <f>SUM(K73:L73)</f>
        <v>#REF!</v>
      </c>
    </row>
    <row r="74" spans="2:13" s="23" customFormat="1" ht="18" customHeight="1">
      <c r="B74" s="116">
        <v>2</v>
      </c>
      <c r="C74" s="117">
        <v>2</v>
      </c>
      <c r="D74" s="117">
        <v>0</v>
      </c>
      <c r="E74" s="118" t="s">
        <v>422</v>
      </c>
      <c r="F74" s="85"/>
      <c r="G74" s="119"/>
      <c r="H74" s="126"/>
      <c r="I74" s="126"/>
      <c r="J74" s="209" t="e">
        <f>SUM(J75:J77)</f>
        <v>#REF!</v>
      </c>
      <c r="K74" s="209" t="e">
        <f>SUM(K75:K77)</f>
        <v>#REF!</v>
      </c>
      <c r="L74" s="209" t="e">
        <f>SUM(L75:L77)</f>
        <v>#REF!</v>
      </c>
      <c r="M74" s="125" t="e">
        <f>SUM(M75:M77)</f>
        <v>#REF!</v>
      </c>
    </row>
    <row r="75" spans="2:13" s="23" customFormat="1" ht="36">
      <c r="B75" s="74">
        <v>2</v>
      </c>
      <c r="C75" s="69">
        <v>2</v>
      </c>
      <c r="D75" s="70">
        <v>1</v>
      </c>
      <c r="E75" s="153" t="s">
        <v>417</v>
      </c>
      <c r="F75" s="72" t="s">
        <v>373</v>
      </c>
      <c r="G75" s="73">
        <v>16</v>
      </c>
      <c r="H75" s="121" t="e">
        <f>'1 - Direct_DK_BoQ'!#REF!*'0 - Summary'!$H$19</f>
        <v>#REF!</v>
      </c>
      <c r="I75" s="121" t="e">
        <f>'1 - Direct_DK_BoQ'!#REF!*'0 - Summary'!$G$15</f>
        <v>#REF!</v>
      </c>
      <c r="J75" s="157" t="e">
        <f t="shared" ref="J75:J80" si="0">(H75+I75)*G75</f>
        <v>#REF!</v>
      </c>
      <c r="K75" s="128" t="e">
        <f t="shared" ref="K75:K80" si="1">H75*G75</f>
        <v>#REF!</v>
      </c>
      <c r="L75" s="128" t="e">
        <f t="shared" ref="L75:L80" si="2">I75*G75</f>
        <v>#REF!</v>
      </c>
      <c r="M75" s="127" t="e">
        <f t="shared" ref="M75:M80" si="3">SUM(K75:L75)</f>
        <v>#REF!</v>
      </c>
    </row>
    <row r="76" spans="2:13" s="23" customFormat="1" ht="18">
      <c r="B76" s="74">
        <v>2</v>
      </c>
      <c r="C76" s="69">
        <v>2</v>
      </c>
      <c r="D76" s="70">
        <v>2</v>
      </c>
      <c r="E76" s="153" t="s">
        <v>418</v>
      </c>
      <c r="F76" s="72" t="s">
        <v>373</v>
      </c>
      <c r="G76" s="73">
        <v>16</v>
      </c>
      <c r="H76" s="121" t="e">
        <f>'1 - Direct_DK_BoQ'!#REF!*'0 - Summary'!$H$19</f>
        <v>#REF!</v>
      </c>
      <c r="I76" s="121" t="e">
        <f>'1 - Direct_DK_BoQ'!#REF!*'0 - Summary'!$G$15</f>
        <v>#REF!</v>
      </c>
      <c r="J76" s="157" t="e">
        <f t="shared" si="0"/>
        <v>#REF!</v>
      </c>
      <c r="K76" s="128" t="e">
        <f t="shared" si="1"/>
        <v>#REF!</v>
      </c>
      <c r="L76" s="128" t="e">
        <f t="shared" si="2"/>
        <v>#REF!</v>
      </c>
      <c r="M76" s="127" t="e">
        <f t="shared" si="3"/>
        <v>#REF!</v>
      </c>
    </row>
    <row r="77" spans="2:13" s="23" customFormat="1" ht="18">
      <c r="B77" s="74">
        <v>2</v>
      </c>
      <c r="C77" s="69">
        <v>2</v>
      </c>
      <c r="D77" s="70">
        <v>3</v>
      </c>
      <c r="E77" s="153" t="s">
        <v>419</v>
      </c>
      <c r="F77" s="72" t="s">
        <v>373</v>
      </c>
      <c r="G77" s="73">
        <v>16</v>
      </c>
      <c r="H77" s="121" t="e">
        <f>'1 - Direct_DK_BoQ'!#REF!*'0 - Summary'!$H$19</f>
        <v>#REF!</v>
      </c>
      <c r="I77" s="121" t="e">
        <f>'1 - Direct_DK_BoQ'!#REF!*'0 - Summary'!$G$15</f>
        <v>#REF!</v>
      </c>
      <c r="J77" s="157" t="e">
        <f t="shared" si="0"/>
        <v>#REF!</v>
      </c>
      <c r="K77" s="128" t="e">
        <f t="shared" si="1"/>
        <v>#REF!</v>
      </c>
      <c r="L77" s="128" t="e">
        <f t="shared" si="2"/>
        <v>#REF!</v>
      </c>
      <c r="M77" s="127" t="e">
        <f t="shared" si="3"/>
        <v>#REF!</v>
      </c>
    </row>
    <row r="78" spans="2:13" s="23" customFormat="1" ht="36">
      <c r="B78" s="74">
        <v>2</v>
      </c>
      <c r="C78" s="69">
        <v>2</v>
      </c>
      <c r="D78" s="70">
        <v>4</v>
      </c>
      <c r="E78" s="153" t="s">
        <v>420</v>
      </c>
      <c r="F78" s="72" t="s">
        <v>373</v>
      </c>
      <c r="G78" s="73">
        <v>16</v>
      </c>
      <c r="H78" s="121" t="e">
        <f>'1 - Direct_DK_BoQ'!#REF!*'0 - Summary'!$H$19</f>
        <v>#REF!</v>
      </c>
      <c r="I78" s="121" t="e">
        <f>'1 - Direct_DK_BoQ'!#REF!*'0 - Summary'!$G$15</f>
        <v>#REF!</v>
      </c>
      <c r="J78" s="157" t="e">
        <f t="shared" si="0"/>
        <v>#REF!</v>
      </c>
      <c r="K78" s="128" t="e">
        <f t="shared" si="1"/>
        <v>#REF!</v>
      </c>
      <c r="L78" s="128" t="e">
        <f t="shared" si="2"/>
        <v>#REF!</v>
      </c>
      <c r="M78" s="127" t="e">
        <f t="shared" si="3"/>
        <v>#REF!</v>
      </c>
    </row>
    <row r="79" spans="2:13" s="23" customFormat="1" ht="18">
      <c r="B79" s="74">
        <v>2</v>
      </c>
      <c r="C79" s="69">
        <v>2</v>
      </c>
      <c r="D79" s="70">
        <v>5</v>
      </c>
      <c r="E79" s="153" t="s">
        <v>421</v>
      </c>
      <c r="F79" s="72" t="s">
        <v>373</v>
      </c>
      <c r="G79" s="73">
        <v>16</v>
      </c>
      <c r="H79" s="121" t="e">
        <f>'1 - Direct_DK_BoQ'!#REF!*'0 - Summary'!$H$19</f>
        <v>#REF!</v>
      </c>
      <c r="I79" s="121" t="e">
        <f>'1 - Direct_DK_BoQ'!#REF!*'0 - Summary'!$G$15</f>
        <v>#REF!</v>
      </c>
      <c r="J79" s="157" t="e">
        <f t="shared" si="0"/>
        <v>#REF!</v>
      </c>
      <c r="K79" s="128" t="e">
        <f t="shared" si="1"/>
        <v>#REF!</v>
      </c>
      <c r="L79" s="128" t="e">
        <f t="shared" si="2"/>
        <v>#REF!</v>
      </c>
      <c r="M79" s="127" t="e">
        <f t="shared" si="3"/>
        <v>#REF!</v>
      </c>
    </row>
    <row r="80" spans="2:13" s="23" customFormat="1" ht="18">
      <c r="B80" s="74">
        <v>2</v>
      </c>
      <c r="C80" s="69">
        <v>2</v>
      </c>
      <c r="D80" s="70">
        <v>6</v>
      </c>
      <c r="E80" s="153" t="s">
        <v>416</v>
      </c>
      <c r="F80" s="72" t="s">
        <v>373</v>
      </c>
      <c r="G80" s="73">
        <v>16</v>
      </c>
      <c r="H80" s="121" t="e">
        <f>'1 - Direct_DK_BoQ'!#REF!*'0 - Summary'!$H$19</f>
        <v>#REF!</v>
      </c>
      <c r="I80" s="121" t="e">
        <f>'1 - Direct_DK_BoQ'!#REF!*'0 - Summary'!$G$15</f>
        <v>#REF!</v>
      </c>
      <c r="J80" s="157" t="e">
        <f t="shared" si="0"/>
        <v>#REF!</v>
      </c>
      <c r="K80" s="128" t="e">
        <f t="shared" si="1"/>
        <v>#REF!</v>
      </c>
      <c r="L80" s="128" t="e">
        <f t="shared" si="2"/>
        <v>#REF!</v>
      </c>
      <c r="M80" s="127" t="e">
        <f t="shared" si="3"/>
        <v>#REF!</v>
      </c>
    </row>
    <row r="81" spans="2:13" s="23" customFormat="1" ht="18" customHeight="1">
      <c r="B81" s="116">
        <v>2</v>
      </c>
      <c r="C81" s="117">
        <v>3</v>
      </c>
      <c r="D81" s="117">
        <v>0</v>
      </c>
      <c r="E81" s="118" t="s">
        <v>423</v>
      </c>
      <c r="F81" s="85"/>
      <c r="G81" s="119"/>
      <c r="H81" s="126"/>
      <c r="I81" s="126"/>
      <c r="J81" s="209" t="e">
        <f>SUM(J82:J84)</f>
        <v>#REF!</v>
      </c>
      <c r="K81" s="209" t="e">
        <f>SUM(K82:K84)</f>
        <v>#REF!</v>
      </c>
      <c r="L81" s="209" t="e">
        <f>SUM(L82:L84)</f>
        <v>#REF!</v>
      </c>
      <c r="M81" s="125" t="e">
        <f>SUM(M82:M84)</f>
        <v>#REF!</v>
      </c>
    </row>
    <row r="82" spans="2:13" s="23" customFormat="1" ht="18">
      <c r="B82" s="74">
        <v>2</v>
      </c>
      <c r="C82" s="69">
        <v>3</v>
      </c>
      <c r="D82" s="70">
        <v>1</v>
      </c>
      <c r="E82" s="153" t="s">
        <v>424</v>
      </c>
      <c r="F82" s="72" t="s">
        <v>373</v>
      </c>
      <c r="G82" s="73">
        <v>163.4</v>
      </c>
      <c r="H82" s="121" t="e">
        <f>'1 - Direct_DK_BoQ'!#REF!*'0 - Summary'!$H$19</f>
        <v>#REF!</v>
      </c>
      <c r="I82" s="121" t="e">
        <f>'1 - Direct_DK_BoQ'!#REF!*'0 - Summary'!$G$15</f>
        <v>#REF!</v>
      </c>
      <c r="J82" s="157" t="e">
        <f>(H82+I82)*G82</f>
        <v>#REF!</v>
      </c>
      <c r="K82" s="128" t="e">
        <f>H82*G82</f>
        <v>#REF!</v>
      </c>
      <c r="L82" s="128" t="e">
        <f>I82*G82</f>
        <v>#REF!</v>
      </c>
      <c r="M82" s="127" t="e">
        <f>SUM(K82:L82)</f>
        <v>#REF!</v>
      </c>
    </row>
    <row r="83" spans="2:13" s="23" customFormat="1" ht="18">
      <c r="B83" s="74">
        <v>2</v>
      </c>
      <c r="C83" s="69">
        <v>3</v>
      </c>
      <c r="D83" s="70">
        <v>2</v>
      </c>
      <c r="E83" s="153" t="s">
        <v>425</v>
      </c>
      <c r="F83" s="72" t="s">
        <v>373</v>
      </c>
      <c r="G83" s="73">
        <v>163.4</v>
      </c>
      <c r="H83" s="121" t="e">
        <f>'1 - Direct_DK_BoQ'!#REF!*'0 - Summary'!$H$19</f>
        <v>#REF!</v>
      </c>
      <c r="I83" s="121" t="e">
        <f>'1 - Direct_DK_BoQ'!#REF!*'0 - Summary'!$G$15</f>
        <v>#REF!</v>
      </c>
      <c r="J83" s="157" t="e">
        <f>(H83+I83)*G83</f>
        <v>#REF!</v>
      </c>
      <c r="K83" s="128" t="e">
        <f>H83*G83</f>
        <v>#REF!</v>
      </c>
      <c r="L83" s="128" t="e">
        <f>I83*G83</f>
        <v>#REF!</v>
      </c>
      <c r="M83" s="127" t="e">
        <f>SUM(K83:L83)</f>
        <v>#REF!</v>
      </c>
    </row>
    <row r="84" spans="2:13" s="23" customFormat="1" ht="18">
      <c r="B84" s="74">
        <v>2</v>
      </c>
      <c r="C84" s="69">
        <v>3</v>
      </c>
      <c r="D84" s="70">
        <v>3</v>
      </c>
      <c r="E84" s="153" t="s">
        <v>426</v>
      </c>
      <c r="F84" s="72" t="s">
        <v>373</v>
      </c>
      <c r="G84" s="73">
        <v>163.4</v>
      </c>
      <c r="H84" s="121" t="e">
        <f>'1 - Direct_DK_BoQ'!#REF!*'0 - Summary'!$H$19</f>
        <v>#REF!</v>
      </c>
      <c r="I84" s="121" t="e">
        <f>'1 - Direct_DK_BoQ'!#REF!*'0 - Summary'!$G$15</f>
        <v>#REF!</v>
      </c>
      <c r="J84" s="157" t="e">
        <f>(H84+I84)*G84</f>
        <v>#REF!</v>
      </c>
      <c r="K84" s="128" t="e">
        <f>H84*G84</f>
        <v>#REF!</v>
      </c>
      <c r="L84" s="128" t="e">
        <f>I84*G84</f>
        <v>#REF!</v>
      </c>
      <c r="M84" s="127" t="e">
        <f>SUM(K84:L84)</f>
        <v>#REF!</v>
      </c>
    </row>
    <row r="85" spans="2:13" ht="18">
      <c r="B85" s="74">
        <v>2</v>
      </c>
      <c r="C85" s="69">
        <v>3</v>
      </c>
      <c r="D85" s="70">
        <v>4</v>
      </c>
      <c r="E85" s="153" t="s">
        <v>416</v>
      </c>
      <c r="F85" s="72" t="s">
        <v>373</v>
      </c>
      <c r="G85" s="73">
        <v>163.4</v>
      </c>
      <c r="H85" s="121" t="e">
        <f>'1 - Direct_DK_BoQ'!#REF!*'0 - Summary'!$H$19</f>
        <v>#REF!</v>
      </c>
      <c r="I85" s="121" t="e">
        <f>'1 - Direct_DK_BoQ'!#REF!*'0 - Summary'!$G$15</f>
        <v>#REF!</v>
      </c>
      <c r="J85" s="157" t="e">
        <f>(H85+I85)*G85</f>
        <v>#REF!</v>
      </c>
      <c r="K85" s="128" t="e">
        <f>H85*G85</f>
        <v>#REF!</v>
      </c>
      <c r="L85" s="128" t="e">
        <f>I85*G85</f>
        <v>#REF!</v>
      </c>
      <c r="M85" s="127" t="e">
        <f>SUM(K85:L85)</f>
        <v>#REF!</v>
      </c>
    </row>
    <row r="86" spans="2:13" s="23" customFormat="1" ht="18" customHeight="1">
      <c r="B86" s="116">
        <v>2</v>
      </c>
      <c r="C86" s="117">
        <v>4</v>
      </c>
      <c r="D86" s="117">
        <v>0</v>
      </c>
      <c r="E86" s="118" t="s">
        <v>427</v>
      </c>
      <c r="F86" s="85"/>
      <c r="G86" s="119"/>
      <c r="H86" s="126"/>
      <c r="I86" s="126"/>
      <c r="J86" s="209" t="e">
        <f>SUM(J87:J89)</f>
        <v>#REF!</v>
      </c>
      <c r="K86" s="209" t="e">
        <f>SUM(K87:K89)</f>
        <v>#REF!</v>
      </c>
      <c r="L86" s="209" t="e">
        <f>SUM(L87:L89)</f>
        <v>#REF!</v>
      </c>
      <c r="M86" s="125" t="e">
        <f>SUM(M87:M89)</f>
        <v>#REF!</v>
      </c>
    </row>
    <row r="87" spans="2:13" s="23" customFormat="1" ht="18">
      <c r="B87" s="74">
        <v>2</v>
      </c>
      <c r="C87" s="69">
        <v>4</v>
      </c>
      <c r="D87" s="70">
        <v>1</v>
      </c>
      <c r="E87" s="153" t="s">
        <v>424</v>
      </c>
      <c r="F87" s="72" t="s">
        <v>373</v>
      </c>
      <c r="G87" s="73">
        <v>28.6</v>
      </c>
      <c r="H87" s="121" t="e">
        <f>'1 - Direct_DK_BoQ'!#REF!*'0 - Summary'!$H$19</f>
        <v>#REF!</v>
      </c>
      <c r="I87" s="121" t="e">
        <f>'1 - Direct_DK_BoQ'!#REF!*'0 - Summary'!$G$15</f>
        <v>#REF!</v>
      </c>
      <c r="J87" s="157" t="e">
        <f>(H87+I87)*G87</f>
        <v>#REF!</v>
      </c>
      <c r="K87" s="128" t="e">
        <f>H87*G87</f>
        <v>#REF!</v>
      </c>
      <c r="L87" s="128" t="e">
        <f>I87*G87</f>
        <v>#REF!</v>
      </c>
      <c r="M87" s="127" t="e">
        <f>SUM(K87:L87)</f>
        <v>#REF!</v>
      </c>
    </row>
    <row r="88" spans="2:13" s="23" customFormat="1" ht="18">
      <c r="B88" s="74">
        <v>2</v>
      </c>
      <c r="C88" s="69">
        <v>4</v>
      </c>
      <c r="D88" s="70">
        <v>2</v>
      </c>
      <c r="E88" s="153" t="s">
        <v>425</v>
      </c>
      <c r="F88" s="72" t="s">
        <v>373</v>
      </c>
      <c r="G88" s="73">
        <v>28.6</v>
      </c>
      <c r="H88" s="121" t="e">
        <f>'1 - Direct_DK_BoQ'!#REF!*'0 - Summary'!$H$19</f>
        <v>#REF!</v>
      </c>
      <c r="I88" s="121" t="e">
        <f>'1 - Direct_DK_BoQ'!#REF!*'0 - Summary'!$G$15</f>
        <v>#REF!</v>
      </c>
      <c r="J88" s="157" t="e">
        <f>(H88+I88)*G88</f>
        <v>#REF!</v>
      </c>
      <c r="K88" s="128" t="e">
        <f>H88*G88</f>
        <v>#REF!</v>
      </c>
      <c r="L88" s="128" t="e">
        <f>I88*G88</f>
        <v>#REF!</v>
      </c>
      <c r="M88" s="127" t="e">
        <f>SUM(K88:L88)</f>
        <v>#REF!</v>
      </c>
    </row>
    <row r="89" spans="2:13" s="23" customFormat="1" ht="18">
      <c r="B89" s="74">
        <v>2</v>
      </c>
      <c r="C89" s="69">
        <v>4</v>
      </c>
      <c r="D89" s="70">
        <v>3</v>
      </c>
      <c r="E89" s="153" t="s">
        <v>426</v>
      </c>
      <c r="F89" s="72" t="s">
        <v>373</v>
      </c>
      <c r="G89" s="73">
        <v>28.6</v>
      </c>
      <c r="H89" s="121" t="e">
        <f>'1 - Direct_DK_BoQ'!#REF!*'0 - Summary'!$H$19</f>
        <v>#REF!</v>
      </c>
      <c r="I89" s="121" t="e">
        <f>'1 - Direct_DK_BoQ'!#REF!*'0 - Summary'!$G$15</f>
        <v>#REF!</v>
      </c>
      <c r="J89" s="157" t="e">
        <f>(H89+I89)*G89</f>
        <v>#REF!</v>
      </c>
      <c r="K89" s="128" t="e">
        <f>H89*G89</f>
        <v>#REF!</v>
      </c>
      <c r="L89" s="128" t="e">
        <f>I89*G89</f>
        <v>#REF!</v>
      </c>
      <c r="M89" s="127" t="e">
        <f>SUM(K89:L89)</f>
        <v>#REF!</v>
      </c>
    </row>
    <row r="90" spans="2:13" ht="18">
      <c r="B90" s="74">
        <v>2</v>
      </c>
      <c r="C90" s="69">
        <v>4</v>
      </c>
      <c r="D90" s="70">
        <v>4</v>
      </c>
      <c r="E90" s="153" t="s">
        <v>416</v>
      </c>
      <c r="F90" s="72" t="s">
        <v>373</v>
      </c>
      <c r="G90" s="73">
        <v>28.6</v>
      </c>
      <c r="H90" s="121" t="e">
        <f>'1 - Direct_DK_BoQ'!#REF!*'0 - Summary'!$H$19</f>
        <v>#REF!</v>
      </c>
      <c r="I90" s="121" t="e">
        <f>'1 - Direct_DK_BoQ'!#REF!*'0 - Summary'!$G$15</f>
        <v>#REF!</v>
      </c>
      <c r="J90" s="157" t="e">
        <f>(H90+I90)*G90</f>
        <v>#REF!</v>
      </c>
      <c r="K90" s="128" t="e">
        <f>H90*G90</f>
        <v>#REF!</v>
      </c>
      <c r="L90" s="128" t="e">
        <f>I90*G90</f>
        <v>#REF!</v>
      </c>
      <c r="M90" s="127" t="e">
        <f>SUM(K90:L90)</f>
        <v>#REF!</v>
      </c>
    </row>
    <row r="91" spans="2:13" s="23" customFormat="1" ht="18" customHeight="1">
      <c r="B91" s="116">
        <v>2</v>
      </c>
      <c r="C91" s="117">
        <v>5</v>
      </c>
      <c r="D91" s="117">
        <v>0</v>
      </c>
      <c r="E91" s="118" t="s">
        <v>428</v>
      </c>
      <c r="F91" s="85"/>
      <c r="G91" s="119"/>
      <c r="H91" s="126"/>
      <c r="I91" s="126"/>
      <c r="J91" s="209" t="e">
        <f>SUM(J92:J94)</f>
        <v>#REF!</v>
      </c>
      <c r="K91" s="209" t="e">
        <f>SUM(K92:K94)</f>
        <v>#REF!</v>
      </c>
      <c r="L91" s="209" t="e">
        <f>SUM(L92:L94)</f>
        <v>#REF!</v>
      </c>
      <c r="M91" s="125" t="e">
        <f>SUM(M92:M94)</f>
        <v>#REF!</v>
      </c>
    </row>
    <row r="92" spans="2:13" s="23" customFormat="1" ht="36">
      <c r="B92" s="74">
        <v>2</v>
      </c>
      <c r="C92" s="69">
        <v>5</v>
      </c>
      <c r="D92" s="70">
        <v>1</v>
      </c>
      <c r="E92" s="153" t="s">
        <v>429</v>
      </c>
      <c r="F92" s="72" t="s">
        <v>373</v>
      </c>
      <c r="G92" s="73">
        <v>437</v>
      </c>
      <c r="H92" s="121" t="e">
        <f>'1 - Direct_DK_BoQ'!#REF!*'0 - Summary'!$H$19</f>
        <v>#REF!</v>
      </c>
      <c r="I92" s="121" t="e">
        <f>'1 - Direct_DK_BoQ'!#REF!*'0 - Summary'!$G$15</f>
        <v>#REF!</v>
      </c>
      <c r="J92" s="157" t="e">
        <f>(H92+I92)*G92</f>
        <v>#REF!</v>
      </c>
      <c r="K92" s="128" t="e">
        <f>H92*G92</f>
        <v>#REF!</v>
      </c>
      <c r="L92" s="128" t="e">
        <f>I92*G92</f>
        <v>#REF!</v>
      </c>
      <c r="M92" s="127" t="e">
        <f>SUM(K92:L92)</f>
        <v>#REF!</v>
      </c>
    </row>
    <row r="93" spans="2:13" s="23" customFormat="1" ht="18">
      <c r="B93" s="74">
        <v>2</v>
      </c>
      <c r="C93" s="69">
        <v>5</v>
      </c>
      <c r="D93" s="70">
        <v>2</v>
      </c>
      <c r="E93" s="153" t="s">
        <v>430</v>
      </c>
      <c r="F93" s="72" t="s">
        <v>373</v>
      </c>
      <c r="G93" s="73">
        <v>437</v>
      </c>
      <c r="H93" s="121" t="e">
        <f>'1 - Direct_DK_BoQ'!#REF!*'0 - Summary'!$H$19</f>
        <v>#REF!</v>
      </c>
      <c r="I93" s="121" t="e">
        <f>'1 - Direct_DK_BoQ'!#REF!*'0 - Summary'!$G$15</f>
        <v>#REF!</v>
      </c>
      <c r="J93" s="157" t="e">
        <f>(H93+I93)*G93</f>
        <v>#REF!</v>
      </c>
      <c r="K93" s="128" t="e">
        <f>H93*G93</f>
        <v>#REF!</v>
      </c>
      <c r="L93" s="128" t="e">
        <f>I93*G93</f>
        <v>#REF!</v>
      </c>
      <c r="M93" s="127" t="e">
        <f>SUM(K93:L93)</f>
        <v>#REF!</v>
      </c>
    </row>
    <row r="94" spans="2:13" s="23" customFormat="1" ht="36">
      <c r="B94" s="74">
        <v>2</v>
      </c>
      <c r="C94" s="69">
        <v>5</v>
      </c>
      <c r="D94" s="70">
        <v>3</v>
      </c>
      <c r="E94" s="153" t="s">
        <v>431</v>
      </c>
      <c r="F94" s="72" t="s">
        <v>373</v>
      </c>
      <c r="G94" s="73">
        <v>437</v>
      </c>
      <c r="H94" s="121" t="e">
        <f>'1 - Direct_DK_BoQ'!#REF!*'0 - Summary'!$H$19</f>
        <v>#REF!</v>
      </c>
      <c r="I94" s="121" t="e">
        <f>'1 - Direct_DK_BoQ'!#REF!*'0 - Summary'!$G$15</f>
        <v>#REF!</v>
      </c>
      <c r="J94" s="157" t="e">
        <f>(H94+I94)*G94</f>
        <v>#REF!</v>
      </c>
      <c r="K94" s="128" t="e">
        <f>H94*G94</f>
        <v>#REF!</v>
      </c>
      <c r="L94" s="128" t="e">
        <f>I94*G94</f>
        <v>#REF!</v>
      </c>
      <c r="M94" s="127" t="e">
        <f>SUM(K94:L94)</f>
        <v>#REF!</v>
      </c>
    </row>
    <row r="95" spans="2:13" ht="18">
      <c r="B95" s="74">
        <v>2</v>
      </c>
      <c r="C95" s="69">
        <v>5</v>
      </c>
      <c r="D95" s="70">
        <v>4</v>
      </c>
      <c r="E95" s="153" t="s">
        <v>432</v>
      </c>
      <c r="F95" s="72" t="s">
        <v>373</v>
      </c>
      <c r="G95" s="73">
        <v>437</v>
      </c>
      <c r="H95" s="121" t="e">
        <f>'1 - Direct_DK_BoQ'!#REF!*'0 - Summary'!$H$19</f>
        <v>#REF!</v>
      </c>
      <c r="I95" s="121" t="e">
        <f>'1 - Direct_DK_BoQ'!#REF!*'0 - Summary'!$G$15</f>
        <v>#REF!</v>
      </c>
      <c r="J95" s="157" t="e">
        <f>(H95+I95)*G95</f>
        <v>#REF!</v>
      </c>
      <c r="K95" s="128" t="e">
        <f>H95*G95</f>
        <v>#REF!</v>
      </c>
      <c r="L95" s="128" t="e">
        <f>I95*G95</f>
        <v>#REF!</v>
      </c>
      <c r="M95" s="127" t="e">
        <f>SUM(K95:L95)</f>
        <v>#REF!</v>
      </c>
    </row>
    <row r="96" spans="2:13" ht="18">
      <c r="B96" s="74">
        <v>2</v>
      </c>
      <c r="C96" s="69">
        <v>5</v>
      </c>
      <c r="D96" s="70">
        <v>5</v>
      </c>
      <c r="E96" s="153" t="s">
        <v>416</v>
      </c>
      <c r="F96" s="72" t="s">
        <v>373</v>
      </c>
      <c r="G96" s="73">
        <v>437</v>
      </c>
      <c r="H96" s="121" t="e">
        <f>'1 - Direct_DK_BoQ'!#REF!*'0 - Summary'!$H$19</f>
        <v>#REF!</v>
      </c>
      <c r="I96" s="121" t="e">
        <f>'1 - Direct_DK_BoQ'!#REF!*'0 - Summary'!$G$15</f>
        <v>#REF!</v>
      </c>
      <c r="J96" s="157" t="e">
        <f>(H96+I96)*G96</f>
        <v>#REF!</v>
      </c>
      <c r="K96" s="128" t="e">
        <f>H96*G96</f>
        <v>#REF!</v>
      </c>
      <c r="L96" s="128" t="e">
        <f>I96*G96</f>
        <v>#REF!</v>
      </c>
      <c r="M96" s="127" t="e">
        <f>SUM(K96:L96)</f>
        <v>#REF!</v>
      </c>
    </row>
    <row r="97" spans="2:13" s="23" customFormat="1" ht="18" customHeight="1">
      <c r="B97" s="116">
        <v>2</v>
      </c>
      <c r="C97" s="117">
        <v>6</v>
      </c>
      <c r="D97" s="117">
        <v>0</v>
      </c>
      <c r="E97" s="118" t="s">
        <v>433</v>
      </c>
      <c r="F97" s="85"/>
      <c r="G97" s="119"/>
      <c r="H97" s="126"/>
      <c r="I97" s="126"/>
      <c r="J97" s="209" t="e">
        <f>SUM(J98:J100)</f>
        <v>#REF!</v>
      </c>
      <c r="K97" s="209" t="e">
        <f>SUM(K98:K100)</f>
        <v>#REF!</v>
      </c>
      <c r="L97" s="209" t="e">
        <f>SUM(L98:L100)</f>
        <v>#REF!</v>
      </c>
      <c r="M97" s="125" t="e">
        <f>SUM(M98:M100)</f>
        <v>#REF!</v>
      </c>
    </row>
    <row r="98" spans="2:13" s="23" customFormat="1" ht="36">
      <c r="B98" s="74">
        <v>2</v>
      </c>
      <c r="C98" s="69">
        <v>6</v>
      </c>
      <c r="D98" s="70">
        <v>1</v>
      </c>
      <c r="E98" s="153" t="s">
        <v>434</v>
      </c>
      <c r="F98" s="72" t="s">
        <v>373</v>
      </c>
      <c r="G98" s="73">
        <v>90</v>
      </c>
      <c r="H98" s="121" t="e">
        <f>'1 - Direct_DK_BoQ'!#REF!*'0 - Summary'!$H$19</f>
        <v>#REF!</v>
      </c>
      <c r="I98" s="121" t="e">
        <f>'1 - Direct_DK_BoQ'!#REF!*'0 - Summary'!$G$15</f>
        <v>#REF!</v>
      </c>
      <c r="J98" s="157" t="e">
        <f t="shared" ref="J98:J103" si="4">(H98+I98)*G98</f>
        <v>#REF!</v>
      </c>
      <c r="K98" s="128" t="e">
        <f t="shared" ref="K98:K103" si="5">H98*G98</f>
        <v>#REF!</v>
      </c>
      <c r="L98" s="128" t="e">
        <f t="shared" ref="L98:L103" si="6">I98*G98</f>
        <v>#REF!</v>
      </c>
      <c r="M98" s="127" t="e">
        <f t="shared" ref="M98:M103" si="7">SUM(K98:L98)</f>
        <v>#REF!</v>
      </c>
    </row>
    <row r="99" spans="2:13" s="23" customFormat="1" ht="18">
      <c r="B99" s="74">
        <v>2</v>
      </c>
      <c r="C99" s="69">
        <v>6</v>
      </c>
      <c r="D99" s="70">
        <v>2</v>
      </c>
      <c r="E99" s="153" t="s">
        <v>435</v>
      </c>
      <c r="F99" s="72" t="s">
        <v>373</v>
      </c>
      <c r="G99" s="73">
        <v>90</v>
      </c>
      <c r="H99" s="121" t="e">
        <f>'1 - Direct_DK_BoQ'!#REF!*'0 - Summary'!$H$19</f>
        <v>#REF!</v>
      </c>
      <c r="I99" s="121" t="e">
        <f>'1 - Direct_DK_BoQ'!#REF!*'0 - Summary'!$G$15</f>
        <v>#REF!</v>
      </c>
      <c r="J99" s="157" t="e">
        <f t="shared" si="4"/>
        <v>#REF!</v>
      </c>
      <c r="K99" s="128" t="e">
        <f t="shared" si="5"/>
        <v>#REF!</v>
      </c>
      <c r="L99" s="128" t="e">
        <f t="shared" si="6"/>
        <v>#REF!</v>
      </c>
      <c r="M99" s="127" t="e">
        <f t="shared" si="7"/>
        <v>#REF!</v>
      </c>
    </row>
    <row r="100" spans="2:13" s="23" customFormat="1" ht="18">
      <c r="B100" s="74">
        <v>2</v>
      </c>
      <c r="C100" s="69">
        <v>6</v>
      </c>
      <c r="D100" s="70">
        <v>3</v>
      </c>
      <c r="E100" s="153" t="s">
        <v>436</v>
      </c>
      <c r="F100" s="72" t="s">
        <v>373</v>
      </c>
      <c r="G100" s="73">
        <v>90</v>
      </c>
      <c r="H100" s="121" t="e">
        <f>'1 - Direct_DK_BoQ'!#REF!*'0 - Summary'!$H$19</f>
        <v>#REF!</v>
      </c>
      <c r="I100" s="121" t="e">
        <f>'1 - Direct_DK_BoQ'!#REF!*'0 - Summary'!$G$15</f>
        <v>#REF!</v>
      </c>
      <c r="J100" s="157" t="e">
        <f t="shared" si="4"/>
        <v>#REF!</v>
      </c>
      <c r="K100" s="128" t="e">
        <f t="shared" si="5"/>
        <v>#REF!</v>
      </c>
      <c r="L100" s="128" t="e">
        <f t="shared" si="6"/>
        <v>#REF!</v>
      </c>
      <c r="M100" s="127" t="e">
        <f t="shared" si="7"/>
        <v>#REF!</v>
      </c>
    </row>
    <row r="101" spans="2:13" s="23" customFormat="1" ht="36">
      <c r="B101" s="74">
        <v>2</v>
      </c>
      <c r="C101" s="69">
        <v>6</v>
      </c>
      <c r="D101" s="70">
        <v>4</v>
      </c>
      <c r="E101" s="153" t="s">
        <v>437</v>
      </c>
      <c r="F101" s="72" t="s">
        <v>373</v>
      </c>
      <c r="G101" s="73">
        <v>90</v>
      </c>
      <c r="H101" s="121" t="e">
        <f>'1 - Direct_DK_BoQ'!#REF!*'0 - Summary'!$H$19</f>
        <v>#REF!</v>
      </c>
      <c r="I101" s="121" t="e">
        <f>'1 - Direct_DK_BoQ'!#REF!*'0 - Summary'!$G$15</f>
        <v>#REF!</v>
      </c>
      <c r="J101" s="157" t="e">
        <f t="shared" si="4"/>
        <v>#REF!</v>
      </c>
      <c r="K101" s="128" t="e">
        <f t="shared" si="5"/>
        <v>#REF!</v>
      </c>
      <c r="L101" s="128" t="e">
        <f t="shared" si="6"/>
        <v>#REF!</v>
      </c>
      <c r="M101" s="127" t="e">
        <f t="shared" si="7"/>
        <v>#REF!</v>
      </c>
    </row>
    <row r="102" spans="2:13" s="23" customFormat="1" ht="18">
      <c r="B102" s="74">
        <v>2</v>
      </c>
      <c r="C102" s="69">
        <v>6</v>
      </c>
      <c r="D102" s="70">
        <v>5</v>
      </c>
      <c r="E102" s="153" t="s">
        <v>438</v>
      </c>
      <c r="F102" s="72" t="s">
        <v>373</v>
      </c>
      <c r="G102" s="73">
        <v>90</v>
      </c>
      <c r="H102" s="121" t="e">
        <f>'1 - Direct_DK_BoQ'!#REF!*'0 - Summary'!$H$19</f>
        <v>#REF!</v>
      </c>
      <c r="I102" s="121" t="e">
        <f>'1 - Direct_DK_BoQ'!#REF!*'0 - Summary'!$G$15</f>
        <v>#REF!</v>
      </c>
      <c r="J102" s="157" t="e">
        <f t="shared" si="4"/>
        <v>#REF!</v>
      </c>
      <c r="K102" s="128" t="e">
        <f t="shared" si="5"/>
        <v>#REF!</v>
      </c>
      <c r="L102" s="128" t="e">
        <f t="shared" si="6"/>
        <v>#REF!</v>
      </c>
      <c r="M102" s="127" t="e">
        <f t="shared" si="7"/>
        <v>#REF!</v>
      </c>
    </row>
    <row r="103" spans="2:13" s="23" customFormat="1" ht="18">
      <c r="B103" s="74">
        <v>2</v>
      </c>
      <c r="C103" s="69">
        <v>6</v>
      </c>
      <c r="D103" s="70">
        <v>6</v>
      </c>
      <c r="E103" s="153" t="s">
        <v>416</v>
      </c>
      <c r="F103" s="72" t="s">
        <v>373</v>
      </c>
      <c r="G103" s="73">
        <v>90</v>
      </c>
      <c r="H103" s="121" t="e">
        <f>'1 - Direct_DK_BoQ'!#REF!*'0 - Summary'!$H$19</f>
        <v>#REF!</v>
      </c>
      <c r="I103" s="121" t="e">
        <f>'1 - Direct_DK_BoQ'!#REF!*'0 - Summary'!$G$15</f>
        <v>#REF!</v>
      </c>
      <c r="J103" s="157" t="e">
        <f t="shared" si="4"/>
        <v>#REF!</v>
      </c>
      <c r="K103" s="128" t="e">
        <f t="shared" si="5"/>
        <v>#REF!</v>
      </c>
      <c r="L103" s="128" t="e">
        <f t="shared" si="6"/>
        <v>#REF!</v>
      </c>
      <c r="M103" s="127" t="e">
        <f t="shared" si="7"/>
        <v>#REF!</v>
      </c>
    </row>
    <row r="104" spans="2:13" s="23" customFormat="1" ht="18" customHeight="1">
      <c r="B104" s="82">
        <v>2</v>
      </c>
      <c r="C104" s="83">
        <v>7</v>
      </c>
      <c r="D104" s="83">
        <v>0</v>
      </c>
      <c r="E104" s="84" t="s">
        <v>439</v>
      </c>
      <c r="F104" s="85"/>
      <c r="G104" s="86"/>
      <c r="H104" s="126"/>
      <c r="I104" s="126"/>
      <c r="J104" s="209" t="e">
        <f>SUM(J105:J107)</f>
        <v>#REF!</v>
      </c>
      <c r="K104" s="209" t="e">
        <f>SUM(K105:K107)</f>
        <v>#REF!</v>
      </c>
      <c r="L104" s="209" t="e">
        <f>SUM(L105:L107)</f>
        <v>#REF!</v>
      </c>
      <c r="M104" s="125" t="e">
        <f>SUM(M105:M107)</f>
        <v>#REF!</v>
      </c>
    </row>
    <row r="105" spans="2:13" s="23" customFormat="1" ht="36">
      <c r="B105" s="74">
        <v>2</v>
      </c>
      <c r="C105" s="69">
        <v>7</v>
      </c>
      <c r="D105" s="70">
        <v>1</v>
      </c>
      <c r="E105" s="71" t="s">
        <v>440</v>
      </c>
      <c r="F105" s="72" t="s">
        <v>373</v>
      </c>
      <c r="G105" s="73">
        <v>100</v>
      </c>
      <c r="H105" s="121" t="e">
        <f>'1 - Direct_DK_BoQ'!#REF!*'0 - Summary'!$H$19</f>
        <v>#REF!</v>
      </c>
      <c r="I105" s="121" t="e">
        <f>'1 - Direct_DK_BoQ'!#REF!*'0 - Summary'!$G$15</f>
        <v>#REF!</v>
      </c>
      <c r="J105" s="157" t="e">
        <f t="shared" ref="J105:J110" si="8">(H105+I105)*G105</f>
        <v>#REF!</v>
      </c>
      <c r="K105" s="128" t="e">
        <f t="shared" ref="K105:K110" si="9">H105*G105</f>
        <v>#REF!</v>
      </c>
      <c r="L105" s="128" t="e">
        <f t="shared" ref="L105:L110" si="10">I105*G105</f>
        <v>#REF!</v>
      </c>
      <c r="M105" s="127" t="e">
        <f t="shared" ref="M105:M110" si="11">SUM(K105:L105)</f>
        <v>#REF!</v>
      </c>
    </row>
    <row r="106" spans="2:13" s="23" customFormat="1" ht="18">
      <c r="B106" s="74">
        <v>2</v>
      </c>
      <c r="C106" s="69">
        <v>7</v>
      </c>
      <c r="D106" s="70">
        <v>2</v>
      </c>
      <c r="E106" s="71" t="s">
        <v>441</v>
      </c>
      <c r="F106" s="72" t="s">
        <v>373</v>
      </c>
      <c r="G106" s="73">
        <v>100</v>
      </c>
      <c r="H106" s="121" t="e">
        <f>'1 - Direct_DK_BoQ'!#REF!*'0 - Summary'!$H$19</f>
        <v>#REF!</v>
      </c>
      <c r="I106" s="121" t="e">
        <f>'1 - Direct_DK_BoQ'!#REF!*'0 - Summary'!$G$15</f>
        <v>#REF!</v>
      </c>
      <c r="J106" s="157" t="e">
        <f t="shared" si="8"/>
        <v>#REF!</v>
      </c>
      <c r="K106" s="128" t="e">
        <f t="shared" si="9"/>
        <v>#REF!</v>
      </c>
      <c r="L106" s="128" t="e">
        <f t="shared" si="10"/>
        <v>#REF!</v>
      </c>
      <c r="M106" s="127" t="e">
        <f t="shared" si="11"/>
        <v>#REF!</v>
      </c>
    </row>
    <row r="107" spans="2:13" s="23" customFormat="1" ht="18">
      <c r="B107" s="74">
        <v>2</v>
      </c>
      <c r="C107" s="69">
        <v>7</v>
      </c>
      <c r="D107" s="70">
        <v>3</v>
      </c>
      <c r="E107" s="71" t="s">
        <v>442</v>
      </c>
      <c r="F107" s="72" t="s">
        <v>373</v>
      </c>
      <c r="G107" s="73">
        <v>100</v>
      </c>
      <c r="H107" s="121" t="e">
        <f>'1 - Direct_DK_BoQ'!#REF!*'0 - Summary'!$H$19</f>
        <v>#REF!</v>
      </c>
      <c r="I107" s="121" t="e">
        <f>'1 - Direct_DK_BoQ'!#REF!*'0 - Summary'!$G$15</f>
        <v>#REF!</v>
      </c>
      <c r="J107" s="157" t="e">
        <f t="shared" si="8"/>
        <v>#REF!</v>
      </c>
      <c r="K107" s="128" t="e">
        <f t="shared" si="9"/>
        <v>#REF!</v>
      </c>
      <c r="L107" s="128" t="e">
        <f t="shared" si="10"/>
        <v>#REF!</v>
      </c>
      <c r="M107" s="127" t="e">
        <f t="shared" si="11"/>
        <v>#REF!</v>
      </c>
    </row>
    <row r="108" spans="2:13" s="23" customFormat="1" ht="36">
      <c r="B108" s="74">
        <v>2</v>
      </c>
      <c r="C108" s="69">
        <v>7</v>
      </c>
      <c r="D108" s="70">
        <v>4</v>
      </c>
      <c r="E108" s="71" t="s">
        <v>443</v>
      </c>
      <c r="F108" s="72" t="s">
        <v>373</v>
      </c>
      <c r="G108" s="73">
        <v>100</v>
      </c>
      <c r="H108" s="121" t="e">
        <f>'1 - Direct_DK_BoQ'!#REF!*'0 - Summary'!$H$19</f>
        <v>#REF!</v>
      </c>
      <c r="I108" s="121" t="e">
        <f>'1 - Direct_DK_BoQ'!#REF!*'0 - Summary'!$G$15</f>
        <v>#REF!</v>
      </c>
      <c r="J108" s="157" t="e">
        <f t="shared" si="8"/>
        <v>#REF!</v>
      </c>
      <c r="K108" s="128" t="e">
        <f t="shared" si="9"/>
        <v>#REF!</v>
      </c>
      <c r="L108" s="128" t="e">
        <f t="shared" si="10"/>
        <v>#REF!</v>
      </c>
      <c r="M108" s="127" t="e">
        <f t="shared" si="11"/>
        <v>#REF!</v>
      </c>
    </row>
    <row r="109" spans="2:13" s="23" customFormat="1" ht="18">
      <c r="B109" s="74">
        <v>2</v>
      </c>
      <c r="C109" s="69">
        <v>7</v>
      </c>
      <c r="D109" s="70">
        <v>5</v>
      </c>
      <c r="E109" s="71" t="s">
        <v>438</v>
      </c>
      <c r="F109" s="72" t="s">
        <v>373</v>
      </c>
      <c r="G109" s="73">
        <v>100</v>
      </c>
      <c r="H109" s="121" t="e">
        <f>'1 - Direct_DK_BoQ'!#REF!*'0 - Summary'!$H$19</f>
        <v>#REF!</v>
      </c>
      <c r="I109" s="121" t="e">
        <f>'1 - Direct_DK_BoQ'!#REF!*'0 - Summary'!$G$15</f>
        <v>#REF!</v>
      </c>
      <c r="J109" s="157" t="e">
        <f t="shared" si="8"/>
        <v>#REF!</v>
      </c>
      <c r="K109" s="128" t="e">
        <f t="shared" si="9"/>
        <v>#REF!</v>
      </c>
      <c r="L109" s="128" t="e">
        <f t="shared" si="10"/>
        <v>#REF!</v>
      </c>
      <c r="M109" s="127" t="e">
        <f t="shared" si="11"/>
        <v>#REF!</v>
      </c>
    </row>
    <row r="110" spans="2:13" s="23" customFormat="1" ht="18">
      <c r="B110" s="74">
        <v>2</v>
      </c>
      <c r="C110" s="69">
        <v>7</v>
      </c>
      <c r="D110" s="70">
        <v>6</v>
      </c>
      <c r="E110" s="71" t="s">
        <v>416</v>
      </c>
      <c r="F110" s="72" t="s">
        <v>373</v>
      </c>
      <c r="G110" s="73">
        <v>100</v>
      </c>
      <c r="H110" s="121" t="e">
        <f>'1 - Direct_DK_BoQ'!#REF!*'0 - Summary'!$H$19</f>
        <v>#REF!</v>
      </c>
      <c r="I110" s="121" t="e">
        <f>'1 - Direct_DK_BoQ'!#REF!*'0 - Summary'!$G$15</f>
        <v>#REF!</v>
      </c>
      <c r="J110" s="157" t="e">
        <f t="shared" si="8"/>
        <v>#REF!</v>
      </c>
      <c r="K110" s="128" t="e">
        <f t="shared" si="9"/>
        <v>#REF!</v>
      </c>
      <c r="L110" s="128" t="e">
        <f t="shared" si="10"/>
        <v>#REF!</v>
      </c>
      <c r="M110" s="127" t="e">
        <f t="shared" si="11"/>
        <v>#REF!</v>
      </c>
    </row>
    <row r="111" spans="2:13" s="23" customFormat="1" ht="18" customHeight="1">
      <c r="B111" s="82">
        <v>2</v>
      </c>
      <c r="C111" s="83">
        <v>8</v>
      </c>
      <c r="D111" s="83">
        <v>0</v>
      </c>
      <c r="E111" s="84" t="s">
        <v>444</v>
      </c>
      <c r="F111" s="85"/>
      <c r="G111" s="86"/>
      <c r="H111" s="126"/>
      <c r="I111" s="126"/>
      <c r="J111" s="209" t="e">
        <f>SUM(J112:J114)</f>
        <v>#REF!</v>
      </c>
      <c r="K111" s="209" t="e">
        <f>SUM(K112:K114)</f>
        <v>#REF!</v>
      </c>
      <c r="L111" s="209" t="e">
        <f>SUM(L112:L114)</f>
        <v>#REF!</v>
      </c>
      <c r="M111" s="125" t="e">
        <f>SUM(M112:M114)</f>
        <v>#REF!</v>
      </c>
    </row>
    <row r="112" spans="2:13" s="23" customFormat="1" ht="36">
      <c r="B112" s="74">
        <v>2</v>
      </c>
      <c r="C112" s="69">
        <v>8</v>
      </c>
      <c r="D112" s="70">
        <v>1</v>
      </c>
      <c r="E112" s="71" t="s">
        <v>445</v>
      </c>
      <c r="F112" s="72" t="s">
        <v>373</v>
      </c>
      <c r="G112" s="73">
        <v>11</v>
      </c>
      <c r="H112" s="121" t="e">
        <f>'1 - Direct_DK_BoQ'!#REF!*'0 - Summary'!$H$19</f>
        <v>#REF!</v>
      </c>
      <c r="I112" s="121" t="e">
        <f>'1 - Direct_DK_BoQ'!#REF!*'0 - Summary'!$G$15</f>
        <v>#REF!</v>
      </c>
      <c r="J112" s="157" t="e">
        <f>(H112+I112)*G112</f>
        <v>#REF!</v>
      </c>
      <c r="K112" s="128" t="e">
        <f>H112*G112</f>
        <v>#REF!</v>
      </c>
      <c r="L112" s="128" t="e">
        <f>I112*G112</f>
        <v>#REF!</v>
      </c>
      <c r="M112" s="127" t="e">
        <f>SUM(K112:L112)</f>
        <v>#REF!</v>
      </c>
    </row>
    <row r="113" spans="2:13" s="23" customFormat="1" ht="18">
      <c r="B113" s="74">
        <v>2</v>
      </c>
      <c r="C113" s="69">
        <v>8</v>
      </c>
      <c r="D113" s="70">
        <v>2</v>
      </c>
      <c r="E113" s="71" t="s">
        <v>446</v>
      </c>
      <c r="F113" s="72" t="s">
        <v>373</v>
      </c>
      <c r="G113" s="73">
        <v>11</v>
      </c>
      <c r="H113" s="121" t="e">
        <f>'1 - Direct_DK_BoQ'!#REF!*'0 - Summary'!$H$19</f>
        <v>#REF!</v>
      </c>
      <c r="I113" s="121" t="e">
        <f>'1 - Direct_DK_BoQ'!#REF!*'0 - Summary'!$G$15</f>
        <v>#REF!</v>
      </c>
      <c r="J113" s="157" t="e">
        <f>(H113+I113)*G113</f>
        <v>#REF!</v>
      </c>
      <c r="K113" s="128" t="e">
        <f>H113*G113</f>
        <v>#REF!</v>
      </c>
      <c r="L113" s="128" t="e">
        <f>I113*G113</f>
        <v>#REF!</v>
      </c>
      <c r="M113" s="127" t="e">
        <f>SUM(K113:L113)</f>
        <v>#REF!</v>
      </c>
    </row>
    <row r="114" spans="2:13" s="23" customFormat="1" ht="18">
      <c r="B114" s="74">
        <v>2</v>
      </c>
      <c r="C114" s="69">
        <v>8</v>
      </c>
      <c r="D114" s="70">
        <v>3</v>
      </c>
      <c r="E114" s="71" t="s">
        <v>442</v>
      </c>
      <c r="F114" s="72" t="s">
        <v>373</v>
      </c>
      <c r="G114" s="73">
        <v>11</v>
      </c>
      <c r="H114" s="121" t="e">
        <f>'1 - Direct_DK_BoQ'!#REF!*'0 - Summary'!$H$19</f>
        <v>#REF!</v>
      </c>
      <c r="I114" s="121" t="e">
        <f>'1 - Direct_DK_BoQ'!#REF!*'0 - Summary'!$G$15</f>
        <v>#REF!</v>
      </c>
      <c r="J114" s="157" t="e">
        <f>(H114+I114)*G114</f>
        <v>#REF!</v>
      </c>
      <c r="K114" s="128" t="e">
        <f>H114*G114</f>
        <v>#REF!</v>
      </c>
      <c r="L114" s="128" t="e">
        <f>I114*G114</f>
        <v>#REF!</v>
      </c>
      <c r="M114" s="127" t="e">
        <f>SUM(K114:L114)</f>
        <v>#REF!</v>
      </c>
    </row>
    <row r="115" spans="2:13" s="23" customFormat="1" ht="36">
      <c r="B115" s="74">
        <v>2</v>
      </c>
      <c r="C115" s="69">
        <v>8</v>
      </c>
      <c r="D115" s="70">
        <v>4</v>
      </c>
      <c r="E115" s="71" t="s">
        <v>447</v>
      </c>
      <c r="F115" s="72" t="s">
        <v>373</v>
      </c>
      <c r="G115" s="73">
        <v>11</v>
      </c>
      <c r="H115" s="121" t="e">
        <f>'1 - Direct_DK_BoQ'!#REF!*'0 - Summary'!$H$19</f>
        <v>#REF!</v>
      </c>
      <c r="I115" s="121" t="e">
        <f>'1 - Direct_DK_BoQ'!#REF!*'0 - Summary'!$G$15</f>
        <v>#REF!</v>
      </c>
      <c r="J115" s="157" t="e">
        <f>(H115+I115)*G115</f>
        <v>#REF!</v>
      </c>
      <c r="K115" s="128" t="e">
        <f>H115*G115</f>
        <v>#REF!</v>
      </c>
      <c r="L115" s="128" t="e">
        <f>I115*G115</f>
        <v>#REF!</v>
      </c>
      <c r="M115" s="127" t="e">
        <f>SUM(K115:L115)</f>
        <v>#REF!</v>
      </c>
    </row>
    <row r="116" spans="2:13" s="23" customFormat="1" ht="18">
      <c r="B116" s="74">
        <v>2</v>
      </c>
      <c r="C116" s="69">
        <v>8</v>
      </c>
      <c r="D116" s="70">
        <v>5</v>
      </c>
      <c r="E116" s="71" t="s">
        <v>421</v>
      </c>
      <c r="F116" s="72" t="s">
        <v>373</v>
      </c>
      <c r="G116" s="73">
        <v>11</v>
      </c>
      <c r="H116" s="121" t="e">
        <f>'1 - Direct_DK_BoQ'!#REF!*'0 - Summary'!$H$19</f>
        <v>#REF!</v>
      </c>
      <c r="I116" s="121" t="e">
        <f>'1 - Direct_DK_BoQ'!#REF!*'0 - Summary'!$G$15</f>
        <v>#REF!</v>
      </c>
      <c r="J116" s="157" t="e">
        <f>(H116+I116)*G116</f>
        <v>#REF!</v>
      </c>
      <c r="K116" s="128" t="e">
        <f>H116*G116</f>
        <v>#REF!</v>
      </c>
      <c r="L116" s="128" t="e">
        <f>I116*G116</f>
        <v>#REF!</v>
      </c>
      <c r="M116" s="127" t="e">
        <f>SUM(K116:L116)</f>
        <v>#REF!</v>
      </c>
    </row>
    <row r="117" spans="2:13" s="23" customFormat="1" ht="18" customHeight="1">
      <c r="B117" s="116">
        <v>2</v>
      </c>
      <c r="C117" s="117">
        <v>9</v>
      </c>
      <c r="D117" s="117">
        <v>0</v>
      </c>
      <c r="E117" s="118" t="s">
        <v>448</v>
      </c>
      <c r="F117" s="85"/>
      <c r="G117" s="119"/>
      <c r="H117" s="126"/>
      <c r="I117" s="126"/>
      <c r="J117" s="209" t="e">
        <f>SUM(J118:J120)</f>
        <v>#REF!</v>
      </c>
      <c r="K117" s="209" t="e">
        <f>SUM(K118:K120)</f>
        <v>#REF!</v>
      </c>
      <c r="L117" s="209" t="e">
        <f>SUM(L118:L120)</f>
        <v>#REF!</v>
      </c>
      <c r="M117" s="125" t="e">
        <f>SUM(M118:M120)</f>
        <v>#REF!</v>
      </c>
    </row>
    <row r="118" spans="2:13" s="23" customFormat="1" ht="36">
      <c r="B118" s="74">
        <v>2</v>
      </c>
      <c r="C118" s="69">
        <v>9</v>
      </c>
      <c r="D118" s="70">
        <v>1</v>
      </c>
      <c r="E118" s="153" t="s">
        <v>449</v>
      </c>
      <c r="F118" s="72" t="s">
        <v>373</v>
      </c>
      <c r="G118" s="73">
        <v>74</v>
      </c>
      <c r="H118" s="121" t="e">
        <f>'1 - Direct_DK_BoQ'!#REF!*'0 - Summary'!$H$19</f>
        <v>#REF!</v>
      </c>
      <c r="I118" s="121" t="e">
        <f>'1 - Direct_DK_BoQ'!#REF!*'0 - Summary'!$G$15</f>
        <v>#REF!</v>
      </c>
      <c r="J118" s="157" t="e">
        <f>(H118+I118)*G118</f>
        <v>#REF!</v>
      </c>
      <c r="K118" s="128" t="e">
        <f>H118*G118</f>
        <v>#REF!</v>
      </c>
      <c r="L118" s="128" t="e">
        <f>I118*G118</f>
        <v>#REF!</v>
      </c>
      <c r="M118" s="127" t="e">
        <f>SUM(K118:L118)</f>
        <v>#REF!</v>
      </c>
    </row>
    <row r="119" spans="2:13" s="23" customFormat="1" ht="18">
      <c r="B119" s="74">
        <v>2</v>
      </c>
      <c r="C119" s="69">
        <v>9</v>
      </c>
      <c r="D119" s="70">
        <v>2</v>
      </c>
      <c r="E119" s="153" t="s">
        <v>450</v>
      </c>
      <c r="F119" s="72" t="s">
        <v>373</v>
      </c>
      <c r="G119" s="73">
        <v>74</v>
      </c>
      <c r="H119" s="121" t="e">
        <f>'1 - Direct_DK_BoQ'!#REF!*'0 - Summary'!$H$19</f>
        <v>#REF!</v>
      </c>
      <c r="I119" s="121" t="e">
        <f>'1 - Direct_DK_BoQ'!#REF!*'0 - Summary'!$G$15</f>
        <v>#REF!</v>
      </c>
      <c r="J119" s="157" t="e">
        <f>(H119+I119)*G119</f>
        <v>#REF!</v>
      </c>
      <c r="K119" s="128" t="e">
        <f>H119*G119</f>
        <v>#REF!</v>
      </c>
      <c r="L119" s="128" t="e">
        <f>I119*G119</f>
        <v>#REF!</v>
      </c>
      <c r="M119" s="127" t="e">
        <f>SUM(K119:L119)</f>
        <v>#REF!</v>
      </c>
    </row>
    <row r="120" spans="2:13" s="23" customFormat="1" ht="36">
      <c r="B120" s="74">
        <v>2</v>
      </c>
      <c r="C120" s="69">
        <v>9</v>
      </c>
      <c r="D120" s="70">
        <v>3</v>
      </c>
      <c r="E120" s="153" t="s">
        <v>451</v>
      </c>
      <c r="F120" s="72" t="s">
        <v>373</v>
      </c>
      <c r="G120" s="73">
        <v>74</v>
      </c>
      <c r="H120" s="121" t="e">
        <f>'1 - Direct_DK_BoQ'!#REF!*'0 - Summary'!$H$19</f>
        <v>#REF!</v>
      </c>
      <c r="I120" s="121" t="e">
        <f>'1 - Direct_DK_BoQ'!#REF!*'0 - Summary'!$G$15</f>
        <v>#REF!</v>
      </c>
      <c r="J120" s="157" t="e">
        <f>(H120+I120)*G120</f>
        <v>#REF!</v>
      </c>
      <c r="K120" s="128" t="e">
        <f>H120*G120</f>
        <v>#REF!</v>
      </c>
      <c r="L120" s="128" t="e">
        <f>I120*G120</f>
        <v>#REF!</v>
      </c>
      <c r="M120" s="127" t="e">
        <f>SUM(K120:L120)</f>
        <v>#REF!</v>
      </c>
    </row>
    <row r="121" spans="2:13" s="23" customFormat="1" ht="18">
      <c r="B121" s="74">
        <v>2</v>
      </c>
      <c r="C121" s="69">
        <v>9</v>
      </c>
      <c r="D121" s="70">
        <v>4</v>
      </c>
      <c r="E121" s="153" t="s">
        <v>452</v>
      </c>
      <c r="F121" s="72" t="s">
        <v>373</v>
      </c>
      <c r="G121" s="73">
        <v>74</v>
      </c>
      <c r="H121" s="121" t="e">
        <f>'1 - Direct_DK_BoQ'!#REF!*'0 - Summary'!$H$19</f>
        <v>#REF!</v>
      </c>
      <c r="I121" s="121" t="e">
        <f>'1 - Direct_DK_BoQ'!#REF!*'0 - Summary'!$G$15</f>
        <v>#REF!</v>
      </c>
      <c r="J121" s="157" t="e">
        <f>(H121+I121)*G121</f>
        <v>#REF!</v>
      </c>
      <c r="K121" s="128" t="e">
        <f>H121*G121</f>
        <v>#REF!</v>
      </c>
      <c r="L121" s="128" t="e">
        <f>I121*G121</f>
        <v>#REF!</v>
      </c>
      <c r="M121" s="127" t="e">
        <f>SUM(K121:L121)</f>
        <v>#REF!</v>
      </c>
    </row>
    <row r="122" spans="2:13" s="23" customFormat="1" ht="18" customHeight="1">
      <c r="B122" s="82">
        <v>2</v>
      </c>
      <c r="C122" s="83">
        <v>10</v>
      </c>
      <c r="D122" s="83">
        <v>0</v>
      </c>
      <c r="E122" s="84" t="s">
        <v>453</v>
      </c>
      <c r="F122" s="85"/>
      <c r="G122" s="86"/>
      <c r="H122" s="126"/>
      <c r="I122" s="126"/>
      <c r="J122" s="209" t="e">
        <f>SUM(J123:J125)</f>
        <v>#REF!</v>
      </c>
      <c r="K122" s="209" t="e">
        <f>SUM(K123:K125)</f>
        <v>#REF!</v>
      </c>
      <c r="L122" s="209" t="e">
        <f>SUM(L123:L125)</f>
        <v>#REF!</v>
      </c>
      <c r="M122" s="125" t="e">
        <f>SUM(M123:M125)</f>
        <v>#REF!</v>
      </c>
    </row>
    <row r="123" spans="2:13" s="23" customFormat="1" ht="36">
      <c r="B123" s="74">
        <v>2</v>
      </c>
      <c r="C123" s="69">
        <v>10</v>
      </c>
      <c r="D123" s="70">
        <v>1</v>
      </c>
      <c r="E123" s="71" t="s">
        <v>454</v>
      </c>
      <c r="F123" s="72" t="s">
        <v>373</v>
      </c>
      <c r="G123" s="73">
        <v>31</v>
      </c>
      <c r="H123" s="121" t="e">
        <f>'1 - Direct_DK_BoQ'!#REF!*'0 - Summary'!$H$19</f>
        <v>#REF!</v>
      </c>
      <c r="I123" s="121" t="e">
        <f>'1 - Direct_DK_BoQ'!#REF!*'0 - Summary'!$G$15</f>
        <v>#REF!</v>
      </c>
      <c r="J123" s="157" t="e">
        <f>(H123+I123)*G123</f>
        <v>#REF!</v>
      </c>
      <c r="K123" s="128" t="e">
        <f>H123*G123</f>
        <v>#REF!</v>
      </c>
      <c r="L123" s="128" t="e">
        <f>I123*G123</f>
        <v>#REF!</v>
      </c>
      <c r="M123" s="127" t="e">
        <f>SUM(K123:L123)</f>
        <v>#REF!</v>
      </c>
    </row>
    <row r="124" spans="2:13" s="23" customFormat="1" ht="18">
      <c r="B124" s="74">
        <v>2</v>
      </c>
      <c r="C124" s="69">
        <v>10</v>
      </c>
      <c r="D124" s="70">
        <v>2</v>
      </c>
      <c r="E124" s="71" t="s">
        <v>446</v>
      </c>
      <c r="F124" s="72" t="s">
        <v>373</v>
      </c>
      <c r="G124" s="73">
        <v>31</v>
      </c>
      <c r="H124" s="121" t="e">
        <f>'1 - Direct_DK_BoQ'!#REF!*'0 - Summary'!$H$19</f>
        <v>#REF!</v>
      </c>
      <c r="I124" s="121" t="e">
        <f>'1 - Direct_DK_BoQ'!#REF!*'0 - Summary'!$G$15</f>
        <v>#REF!</v>
      </c>
      <c r="J124" s="157" t="e">
        <f>(H124+I124)*G124</f>
        <v>#REF!</v>
      </c>
      <c r="K124" s="128" t="e">
        <f>H124*G124</f>
        <v>#REF!</v>
      </c>
      <c r="L124" s="128" t="e">
        <f>I124*G124</f>
        <v>#REF!</v>
      </c>
      <c r="M124" s="127" t="e">
        <f>SUM(K124:L124)</f>
        <v>#REF!</v>
      </c>
    </row>
    <row r="125" spans="2:13" s="23" customFormat="1" ht="18">
      <c r="B125" s="74">
        <v>2</v>
      </c>
      <c r="C125" s="69">
        <v>10</v>
      </c>
      <c r="D125" s="70">
        <v>3</v>
      </c>
      <c r="E125" s="71" t="s">
        <v>442</v>
      </c>
      <c r="F125" s="72" t="s">
        <v>373</v>
      </c>
      <c r="G125" s="73">
        <v>31</v>
      </c>
      <c r="H125" s="121" t="e">
        <f>'1 - Direct_DK_BoQ'!#REF!*'0 - Summary'!$H$19</f>
        <v>#REF!</v>
      </c>
      <c r="I125" s="121" t="e">
        <f>'1 - Direct_DK_BoQ'!#REF!*'0 - Summary'!$G$15</f>
        <v>#REF!</v>
      </c>
      <c r="J125" s="157" t="e">
        <f>(H125+I125)*G125</f>
        <v>#REF!</v>
      </c>
      <c r="K125" s="128" t="e">
        <f>H125*G125</f>
        <v>#REF!</v>
      </c>
      <c r="L125" s="128" t="e">
        <f>I125*G125</f>
        <v>#REF!</v>
      </c>
      <c r="M125" s="127" t="e">
        <f>SUM(K125:L125)</f>
        <v>#REF!</v>
      </c>
    </row>
    <row r="126" spans="2:13" s="23" customFormat="1" ht="36">
      <c r="B126" s="74">
        <v>2</v>
      </c>
      <c r="C126" s="69">
        <v>10</v>
      </c>
      <c r="D126" s="70">
        <v>4</v>
      </c>
      <c r="E126" s="71" t="s">
        <v>455</v>
      </c>
      <c r="F126" s="72" t="s">
        <v>373</v>
      </c>
      <c r="G126" s="73">
        <v>31</v>
      </c>
      <c r="H126" s="121" t="e">
        <f>'1 - Direct_DK_BoQ'!#REF!*'0 - Summary'!$H$19</f>
        <v>#REF!</v>
      </c>
      <c r="I126" s="121" t="e">
        <f>'1 - Direct_DK_BoQ'!#REF!*'0 - Summary'!$G$15</f>
        <v>#REF!</v>
      </c>
      <c r="J126" s="157" t="e">
        <f>(H126+I126)*G126</f>
        <v>#REF!</v>
      </c>
      <c r="K126" s="128" t="e">
        <f>H126*G126</f>
        <v>#REF!</v>
      </c>
      <c r="L126" s="128" t="e">
        <f>I126*G126</f>
        <v>#REF!</v>
      </c>
      <c r="M126" s="127" t="e">
        <f>SUM(K126:L126)</f>
        <v>#REF!</v>
      </c>
    </row>
    <row r="127" spans="2:13" s="23" customFormat="1" ht="18">
      <c r="B127" s="74">
        <v>2</v>
      </c>
      <c r="C127" s="69">
        <v>10</v>
      </c>
      <c r="D127" s="70">
        <v>5</v>
      </c>
      <c r="E127" s="71" t="s">
        <v>421</v>
      </c>
      <c r="F127" s="72" t="s">
        <v>373</v>
      </c>
      <c r="G127" s="73">
        <v>31</v>
      </c>
      <c r="H127" s="121" t="e">
        <f>'1 - Direct_DK_BoQ'!#REF!*'0 - Summary'!$H$19</f>
        <v>#REF!</v>
      </c>
      <c r="I127" s="121" t="e">
        <f>'1 - Direct_DK_BoQ'!#REF!*'0 - Summary'!$G$15</f>
        <v>#REF!</v>
      </c>
      <c r="J127" s="157" t="e">
        <f>(H127+I127)*G127</f>
        <v>#REF!</v>
      </c>
      <c r="K127" s="128" t="e">
        <f>H127*G127</f>
        <v>#REF!</v>
      </c>
      <c r="L127" s="128" t="e">
        <f>I127*G127</f>
        <v>#REF!</v>
      </c>
      <c r="M127" s="127" t="e">
        <f>SUM(K127:L127)</f>
        <v>#REF!</v>
      </c>
    </row>
    <row r="128" spans="2:13" s="23" customFormat="1" ht="18" customHeight="1">
      <c r="B128" s="82">
        <v>2</v>
      </c>
      <c r="C128" s="83">
        <v>11</v>
      </c>
      <c r="D128" s="83">
        <v>0</v>
      </c>
      <c r="E128" s="84" t="s">
        <v>456</v>
      </c>
      <c r="F128" s="85"/>
      <c r="G128" s="86"/>
      <c r="H128" s="126"/>
      <c r="I128" s="126"/>
      <c r="J128" s="209" t="e">
        <f>SUM(J129:J131)</f>
        <v>#REF!</v>
      </c>
      <c r="K128" s="209" t="e">
        <f>SUM(K129:K131)</f>
        <v>#REF!</v>
      </c>
      <c r="L128" s="209" t="e">
        <f>SUM(L129:L131)</f>
        <v>#REF!</v>
      </c>
      <c r="M128" s="125" t="e">
        <f>SUM(M129:M131)</f>
        <v>#REF!</v>
      </c>
    </row>
    <row r="129" spans="2:13" s="23" customFormat="1" ht="18">
      <c r="B129" s="74">
        <v>2</v>
      </c>
      <c r="C129" s="69">
        <v>11</v>
      </c>
      <c r="D129" s="70">
        <v>1</v>
      </c>
      <c r="E129" s="71" t="s">
        <v>457</v>
      </c>
      <c r="F129" s="72" t="s">
        <v>373</v>
      </c>
      <c r="G129" s="73">
        <v>14</v>
      </c>
      <c r="H129" s="121" t="e">
        <f>'1 - Direct_DK_BoQ'!#REF!*'0 - Summary'!$H$19</f>
        <v>#REF!</v>
      </c>
      <c r="I129" s="121" t="e">
        <f>'1 - Direct_DK_BoQ'!#REF!*'0 - Summary'!$G$15</f>
        <v>#REF!</v>
      </c>
      <c r="J129" s="157" t="e">
        <f>(H129+I129)*G129</f>
        <v>#REF!</v>
      </c>
      <c r="K129" s="128" t="e">
        <f>H129*G129</f>
        <v>#REF!</v>
      </c>
      <c r="L129" s="128" t="e">
        <f>I129*G129</f>
        <v>#REF!</v>
      </c>
      <c r="M129" s="127" t="e">
        <f>SUM(K129:L129)</f>
        <v>#REF!</v>
      </c>
    </row>
    <row r="130" spans="2:13" s="23" customFormat="1" ht="18">
      <c r="B130" s="74">
        <v>2</v>
      </c>
      <c r="C130" s="69">
        <v>11</v>
      </c>
      <c r="D130" s="70">
        <v>2</v>
      </c>
      <c r="E130" s="71" t="s">
        <v>418</v>
      </c>
      <c r="F130" s="72" t="s">
        <v>373</v>
      </c>
      <c r="G130" s="73">
        <v>14</v>
      </c>
      <c r="H130" s="121" t="e">
        <f>'1 - Direct_DK_BoQ'!#REF!*'0 - Summary'!$H$19</f>
        <v>#REF!</v>
      </c>
      <c r="I130" s="121" t="e">
        <f>'1 - Direct_DK_BoQ'!#REF!*'0 - Summary'!$G$15</f>
        <v>#REF!</v>
      </c>
      <c r="J130" s="157" t="e">
        <f>(H130+I130)*G130</f>
        <v>#REF!</v>
      </c>
      <c r="K130" s="128" t="e">
        <f>H130*G130</f>
        <v>#REF!</v>
      </c>
      <c r="L130" s="128" t="e">
        <f>I130*G130</f>
        <v>#REF!</v>
      </c>
      <c r="M130" s="127" t="e">
        <f>SUM(K130:L130)</f>
        <v>#REF!</v>
      </c>
    </row>
    <row r="131" spans="2:13" s="23" customFormat="1" ht="36">
      <c r="B131" s="74">
        <v>2</v>
      </c>
      <c r="C131" s="69">
        <v>11</v>
      </c>
      <c r="D131" s="70">
        <v>3</v>
      </c>
      <c r="E131" s="71" t="s">
        <v>458</v>
      </c>
      <c r="F131" s="72" t="s">
        <v>373</v>
      </c>
      <c r="G131" s="73">
        <v>14</v>
      </c>
      <c r="H131" s="121" t="e">
        <f>'1 - Direct_DK_BoQ'!#REF!*'0 - Summary'!$H$19</f>
        <v>#REF!</v>
      </c>
      <c r="I131" s="121" t="e">
        <f>'1 - Direct_DK_BoQ'!#REF!*'0 - Summary'!$G$15</f>
        <v>#REF!</v>
      </c>
      <c r="J131" s="157" t="e">
        <f>(H131+I131)*G131</f>
        <v>#REF!</v>
      </c>
      <c r="K131" s="128" t="e">
        <f>H131*G131</f>
        <v>#REF!</v>
      </c>
      <c r="L131" s="128" t="e">
        <f>I131*G131</f>
        <v>#REF!</v>
      </c>
      <c r="M131" s="127" t="e">
        <f>SUM(K131:L131)</f>
        <v>#REF!</v>
      </c>
    </row>
    <row r="132" spans="2:13" s="23" customFormat="1" ht="18">
      <c r="B132" s="74">
        <v>2</v>
      </c>
      <c r="C132" s="69">
        <v>11</v>
      </c>
      <c r="D132" s="70">
        <v>4</v>
      </c>
      <c r="E132" s="71" t="s">
        <v>459</v>
      </c>
      <c r="F132" s="72" t="s">
        <v>373</v>
      </c>
      <c r="G132" s="73">
        <v>14</v>
      </c>
      <c r="H132" s="121" t="e">
        <f>'1 - Direct_DK_BoQ'!#REF!*'0 - Summary'!$H$19</f>
        <v>#REF!</v>
      </c>
      <c r="I132" s="121" t="e">
        <f>'1 - Direct_DK_BoQ'!#REF!*'0 - Summary'!$G$15</f>
        <v>#REF!</v>
      </c>
      <c r="J132" s="157" t="e">
        <f>(H132+I132)*G132</f>
        <v>#REF!</v>
      </c>
      <c r="K132" s="128" t="e">
        <f>H132*G132</f>
        <v>#REF!</v>
      </c>
      <c r="L132" s="128" t="e">
        <f>I132*G132</f>
        <v>#REF!</v>
      </c>
      <c r="M132" s="127" t="e">
        <f>SUM(K132:L132)</f>
        <v>#REF!</v>
      </c>
    </row>
    <row r="133" spans="2:13" s="23" customFormat="1" ht="18">
      <c r="B133" s="74">
        <v>2</v>
      </c>
      <c r="C133" s="69">
        <v>11</v>
      </c>
      <c r="D133" s="70">
        <v>4</v>
      </c>
      <c r="E133" s="71" t="s">
        <v>416</v>
      </c>
      <c r="F133" s="72" t="s">
        <v>373</v>
      </c>
      <c r="G133" s="73">
        <v>14</v>
      </c>
      <c r="H133" s="121" t="e">
        <f>'1 - Direct_DK_BoQ'!#REF!*'0 - Summary'!$H$19</f>
        <v>#REF!</v>
      </c>
      <c r="I133" s="121" t="e">
        <f>'1 - Direct_DK_BoQ'!#REF!*'0 - Summary'!$G$15</f>
        <v>#REF!</v>
      </c>
      <c r="J133" s="157" t="e">
        <f>(H133+I133)*G133</f>
        <v>#REF!</v>
      </c>
      <c r="K133" s="128" t="e">
        <f>H133*G133</f>
        <v>#REF!</v>
      </c>
      <c r="L133" s="128" t="e">
        <f>I133*G133</f>
        <v>#REF!</v>
      </c>
      <c r="M133" s="127" t="e">
        <f>SUM(K133:L133)</f>
        <v>#REF!</v>
      </c>
    </row>
    <row r="134" spans="2:13" s="23" customFormat="1" ht="17.399999999999999">
      <c r="B134" s="92">
        <v>3</v>
      </c>
      <c r="C134" s="93">
        <v>0</v>
      </c>
      <c r="D134" s="93">
        <v>0</v>
      </c>
      <c r="E134" s="114" t="s">
        <v>460</v>
      </c>
      <c r="F134" s="89"/>
      <c r="G134" s="115"/>
      <c r="H134" s="124"/>
      <c r="I134" s="124"/>
      <c r="J134" s="196" t="e">
        <f>J135+J139+J143+J147+J151+J155+J159+J163+J165</f>
        <v>#REF!</v>
      </c>
      <c r="K134" s="196" t="e">
        <f>K135+K139+K143+K147+K151+K155+K159+K163+K165</f>
        <v>#REF!</v>
      </c>
      <c r="L134" s="196" t="e">
        <f>L135+L139+L143+L147+L151+L155+L159+L163+L165</f>
        <v>#REF!</v>
      </c>
      <c r="M134" s="123" t="e">
        <f>M135+M139+M143+M147+M151+M155+M159+M163+M165</f>
        <v>#REF!</v>
      </c>
    </row>
    <row r="135" spans="2:13" s="23" customFormat="1" ht="18" customHeight="1">
      <c r="B135" s="116">
        <v>3</v>
      </c>
      <c r="C135" s="117">
        <v>1</v>
      </c>
      <c r="D135" s="117">
        <v>0</v>
      </c>
      <c r="E135" s="118" t="s">
        <v>461</v>
      </c>
      <c r="F135" s="85"/>
      <c r="G135" s="119"/>
      <c r="H135" s="126"/>
      <c r="I135" s="126"/>
      <c r="J135" s="209" t="e">
        <f>SUM(J136:J138)</f>
        <v>#REF!</v>
      </c>
      <c r="K135" s="209" t="e">
        <f>SUM(K136:K138)</f>
        <v>#REF!</v>
      </c>
      <c r="L135" s="209" t="e">
        <f>SUM(L136:L138)</f>
        <v>#REF!</v>
      </c>
      <c r="M135" s="125" t="e">
        <f>SUM(M136:M138)</f>
        <v>#REF!</v>
      </c>
    </row>
    <row r="136" spans="2:13" s="23" customFormat="1" ht="18">
      <c r="B136" s="74">
        <v>3</v>
      </c>
      <c r="C136" s="69">
        <v>1</v>
      </c>
      <c r="D136" s="70">
        <v>1</v>
      </c>
      <c r="E136" s="153" t="s">
        <v>462</v>
      </c>
      <c r="F136" s="72" t="s">
        <v>373</v>
      </c>
      <c r="G136" s="73">
        <v>81</v>
      </c>
      <c r="H136" s="121" t="e">
        <f>'1 - Direct_DK_BoQ'!#REF!*'0 - Summary'!$H$19</f>
        <v>#REF!</v>
      </c>
      <c r="I136" s="121" t="e">
        <f>'1 - Direct_DK_BoQ'!#REF!*'0 - Summary'!$G$15</f>
        <v>#REF!</v>
      </c>
      <c r="J136" s="157" t="e">
        <f>(H136+I136)*G136</f>
        <v>#REF!</v>
      </c>
      <c r="K136" s="128" t="e">
        <f>H136*G136</f>
        <v>#REF!</v>
      </c>
      <c r="L136" s="128" t="e">
        <f>I136*G136</f>
        <v>#REF!</v>
      </c>
      <c r="M136" s="127" t="e">
        <f>SUM(K136:L136)</f>
        <v>#REF!</v>
      </c>
    </row>
    <row r="137" spans="2:13" s="23" customFormat="1" ht="18">
      <c r="B137" s="74">
        <v>3</v>
      </c>
      <c r="C137" s="69">
        <v>1</v>
      </c>
      <c r="D137" s="70">
        <v>2</v>
      </c>
      <c r="E137" s="153" t="s">
        <v>463</v>
      </c>
      <c r="F137" s="72" t="s">
        <v>373</v>
      </c>
      <c r="G137" s="73">
        <v>81</v>
      </c>
      <c r="H137" s="121" t="e">
        <f>'1 - Direct_DK_BoQ'!#REF!*'0 - Summary'!$H$19</f>
        <v>#REF!</v>
      </c>
      <c r="I137" s="121" t="e">
        <f>'1 - Direct_DK_BoQ'!#REF!*'0 - Summary'!$G$15</f>
        <v>#REF!</v>
      </c>
      <c r="J137" s="157" t="e">
        <f>(H137+I137)*G137</f>
        <v>#REF!</v>
      </c>
      <c r="K137" s="128" t="e">
        <f>H137*G137</f>
        <v>#REF!</v>
      </c>
      <c r="L137" s="128" t="e">
        <f>I137*G137</f>
        <v>#REF!</v>
      </c>
      <c r="M137" s="127" t="e">
        <f>SUM(K137:L137)</f>
        <v>#REF!</v>
      </c>
    </row>
    <row r="138" spans="2:13" s="23" customFormat="1" ht="18">
      <c r="B138" s="74">
        <v>3</v>
      </c>
      <c r="C138" s="69">
        <v>1</v>
      </c>
      <c r="D138" s="70">
        <v>3</v>
      </c>
      <c r="E138" s="153" t="s">
        <v>464</v>
      </c>
      <c r="F138" s="72" t="s">
        <v>373</v>
      </c>
      <c r="G138" s="73">
        <v>81</v>
      </c>
      <c r="H138" s="121" t="e">
        <f>'1 - Direct_DK_BoQ'!#REF!*'0 - Summary'!$H$19</f>
        <v>#REF!</v>
      </c>
      <c r="I138" s="121" t="e">
        <f>'1 - Direct_DK_BoQ'!#REF!*'0 - Summary'!$G$15</f>
        <v>#REF!</v>
      </c>
      <c r="J138" s="157" t="e">
        <f>(H138+I138)*G138</f>
        <v>#REF!</v>
      </c>
      <c r="K138" s="128" t="e">
        <f>H138*G138</f>
        <v>#REF!</v>
      </c>
      <c r="L138" s="128" t="e">
        <f>I138*G138</f>
        <v>#REF!</v>
      </c>
      <c r="M138" s="127" t="e">
        <f>SUM(K138:L138)</f>
        <v>#REF!</v>
      </c>
    </row>
    <row r="139" spans="2:13" s="23" customFormat="1" ht="18" customHeight="1">
      <c r="B139" s="116">
        <v>3</v>
      </c>
      <c r="C139" s="117">
        <v>2</v>
      </c>
      <c r="D139" s="117">
        <v>0</v>
      </c>
      <c r="E139" s="118" t="s">
        <v>465</v>
      </c>
      <c r="F139" s="85"/>
      <c r="G139" s="119"/>
      <c r="H139" s="126"/>
      <c r="I139" s="126"/>
      <c r="J139" s="209" t="e">
        <f>SUM(J140:J142)</f>
        <v>#REF!</v>
      </c>
      <c r="K139" s="209" t="e">
        <f>SUM(K140:K142)</f>
        <v>#REF!</v>
      </c>
      <c r="L139" s="209" t="e">
        <f>SUM(L140:L142)</f>
        <v>#REF!</v>
      </c>
      <c r="M139" s="125" t="e">
        <f>SUM(M140:M142)</f>
        <v>#REF!</v>
      </c>
    </row>
    <row r="140" spans="2:13" s="23" customFormat="1" ht="18">
      <c r="B140" s="74">
        <v>3</v>
      </c>
      <c r="C140" s="69">
        <v>2</v>
      </c>
      <c r="D140" s="70">
        <v>1</v>
      </c>
      <c r="E140" s="153" t="s">
        <v>462</v>
      </c>
      <c r="F140" s="72" t="s">
        <v>373</v>
      </c>
      <c r="G140" s="73">
        <v>15.5</v>
      </c>
      <c r="H140" s="121" t="e">
        <f>'1 - Direct_DK_BoQ'!#REF!*'0 - Summary'!$H$19</f>
        <v>#REF!</v>
      </c>
      <c r="I140" s="121" t="e">
        <f>'1 - Direct_DK_BoQ'!#REF!*'0 - Summary'!$G$15</f>
        <v>#REF!</v>
      </c>
      <c r="J140" s="157" t="e">
        <f>(H140+I140)*G140</f>
        <v>#REF!</v>
      </c>
      <c r="K140" s="128" t="e">
        <f>H140*G140</f>
        <v>#REF!</v>
      </c>
      <c r="L140" s="128" t="e">
        <f>I140*G140</f>
        <v>#REF!</v>
      </c>
      <c r="M140" s="127" t="e">
        <f>SUM(K140:L140)</f>
        <v>#REF!</v>
      </c>
    </row>
    <row r="141" spans="2:13" s="23" customFormat="1" ht="18">
      <c r="B141" s="74">
        <v>3</v>
      </c>
      <c r="C141" s="69">
        <v>2</v>
      </c>
      <c r="D141" s="70">
        <v>2</v>
      </c>
      <c r="E141" s="153" t="s">
        <v>463</v>
      </c>
      <c r="F141" s="72" t="s">
        <v>373</v>
      </c>
      <c r="G141" s="73">
        <v>15.5</v>
      </c>
      <c r="H141" s="121" t="e">
        <f>'1 - Direct_DK_BoQ'!#REF!*'0 - Summary'!$H$19</f>
        <v>#REF!</v>
      </c>
      <c r="I141" s="121" t="e">
        <f>'1 - Direct_DK_BoQ'!#REF!*'0 - Summary'!$G$15</f>
        <v>#REF!</v>
      </c>
      <c r="J141" s="157" t="e">
        <f>(H141+I141)*G141</f>
        <v>#REF!</v>
      </c>
      <c r="K141" s="128" t="e">
        <f>H141*G141</f>
        <v>#REF!</v>
      </c>
      <c r="L141" s="128" t="e">
        <f>I141*G141</f>
        <v>#REF!</v>
      </c>
      <c r="M141" s="127" t="e">
        <f>SUM(K141:L141)</f>
        <v>#REF!</v>
      </c>
    </row>
    <row r="142" spans="2:13" s="23" customFormat="1" ht="18">
      <c r="B142" s="74">
        <v>3</v>
      </c>
      <c r="C142" s="69">
        <v>2</v>
      </c>
      <c r="D142" s="70">
        <v>3</v>
      </c>
      <c r="E142" s="153" t="s">
        <v>464</v>
      </c>
      <c r="F142" s="72" t="s">
        <v>373</v>
      </c>
      <c r="G142" s="73">
        <v>15.5</v>
      </c>
      <c r="H142" s="121" t="e">
        <f>'1 - Direct_DK_BoQ'!#REF!*'0 - Summary'!$H$19</f>
        <v>#REF!</v>
      </c>
      <c r="I142" s="121" t="e">
        <f>'1 - Direct_DK_BoQ'!#REF!*'0 - Summary'!$G$15</f>
        <v>#REF!</v>
      </c>
      <c r="J142" s="157" t="e">
        <f>(H142+I142)*G142</f>
        <v>#REF!</v>
      </c>
      <c r="K142" s="128" t="e">
        <f>H142*G142</f>
        <v>#REF!</v>
      </c>
      <c r="L142" s="128" t="e">
        <f>I142*G142</f>
        <v>#REF!</v>
      </c>
      <c r="M142" s="127" t="e">
        <f>SUM(K142:L142)</f>
        <v>#REF!</v>
      </c>
    </row>
    <row r="143" spans="2:13" s="23" customFormat="1" ht="18" customHeight="1">
      <c r="B143" s="116">
        <v>3</v>
      </c>
      <c r="C143" s="117">
        <v>3</v>
      </c>
      <c r="D143" s="117">
        <v>0</v>
      </c>
      <c r="E143" s="118" t="s">
        <v>466</v>
      </c>
      <c r="F143" s="85"/>
      <c r="G143" s="119"/>
      <c r="H143" s="126"/>
      <c r="I143" s="126"/>
      <c r="J143" s="209" t="e">
        <f>SUM(J144:J146)</f>
        <v>#REF!</v>
      </c>
      <c r="K143" s="209" t="e">
        <f>SUM(K144:K146)</f>
        <v>#REF!</v>
      </c>
      <c r="L143" s="209" t="e">
        <f>SUM(L144:L146)</f>
        <v>#REF!</v>
      </c>
      <c r="M143" s="125" t="e">
        <f>SUM(M144:M146)</f>
        <v>#REF!</v>
      </c>
    </row>
    <row r="144" spans="2:13" s="23" customFormat="1" ht="18">
      <c r="B144" s="74">
        <v>3</v>
      </c>
      <c r="C144" s="69">
        <v>3</v>
      </c>
      <c r="D144" s="70">
        <v>1</v>
      </c>
      <c r="E144" s="153" t="s">
        <v>462</v>
      </c>
      <c r="F144" s="72" t="s">
        <v>373</v>
      </c>
      <c r="G144" s="73">
        <v>1036.78</v>
      </c>
      <c r="H144" s="121" t="e">
        <f>'1 - Direct_DK_BoQ'!#REF!*'0 - Summary'!$H$19</f>
        <v>#REF!</v>
      </c>
      <c r="I144" s="121" t="e">
        <f>'1 - Direct_DK_BoQ'!#REF!*'0 - Summary'!$G$15</f>
        <v>#REF!</v>
      </c>
      <c r="J144" s="157" t="e">
        <f>(H144+I144)*G144</f>
        <v>#REF!</v>
      </c>
      <c r="K144" s="128" t="e">
        <f>H144*G144</f>
        <v>#REF!</v>
      </c>
      <c r="L144" s="128" t="e">
        <f>I144*G144</f>
        <v>#REF!</v>
      </c>
      <c r="M144" s="127" t="e">
        <f>SUM(K144:L144)</f>
        <v>#REF!</v>
      </c>
    </row>
    <row r="145" spans="2:13" s="23" customFormat="1" ht="18">
      <c r="B145" s="74">
        <v>3</v>
      </c>
      <c r="C145" s="69">
        <v>3</v>
      </c>
      <c r="D145" s="70">
        <v>2</v>
      </c>
      <c r="E145" s="153" t="s">
        <v>463</v>
      </c>
      <c r="F145" s="72" t="s">
        <v>373</v>
      </c>
      <c r="G145" s="73">
        <v>1036.78</v>
      </c>
      <c r="H145" s="121" t="e">
        <f>'1 - Direct_DK_BoQ'!#REF!*'0 - Summary'!$H$19</f>
        <v>#REF!</v>
      </c>
      <c r="I145" s="121" t="e">
        <f>'1 - Direct_DK_BoQ'!#REF!*'0 - Summary'!$G$15</f>
        <v>#REF!</v>
      </c>
      <c r="J145" s="157" t="e">
        <f>(H145+I145)*G145</f>
        <v>#REF!</v>
      </c>
      <c r="K145" s="128" t="e">
        <f>H145*G145</f>
        <v>#REF!</v>
      </c>
      <c r="L145" s="128" t="e">
        <f>I145*G145</f>
        <v>#REF!</v>
      </c>
      <c r="M145" s="127" t="e">
        <f>SUM(K145:L145)</f>
        <v>#REF!</v>
      </c>
    </row>
    <row r="146" spans="2:13" s="23" customFormat="1" ht="18">
      <c r="B146" s="74">
        <v>3</v>
      </c>
      <c r="C146" s="69">
        <v>3</v>
      </c>
      <c r="D146" s="70">
        <v>3</v>
      </c>
      <c r="E146" s="153" t="s">
        <v>467</v>
      </c>
      <c r="F146" s="72" t="s">
        <v>373</v>
      </c>
      <c r="G146" s="73">
        <v>1036.78</v>
      </c>
      <c r="H146" s="121" t="e">
        <f>'1 - Direct_DK_BoQ'!#REF!*'0 - Summary'!$H$19</f>
        <v>#REF!</v>
      </c>
      <c r="I146" s="121" t="e">
        <f>'1 - Direct_DK_BoQ'!#REF!*'0 - Summary'!$G$15</f>
        <v>#REF!</v>
      </c>
      <c r="J146" s="157" t="e">
        <f>(H146+I146)*G146</f>
        <v>#REF!</v>
      </c>
      <c r="K146" s="128" t="e">
        <f>H146*G146</f>
        <v>#REF!</v>
      </c>
      <c r="L146" s="128" t="e">
        <f>I146*G146</f>
        <v>#REF!</v>
      </c>
      <c r="M146" s="127" t="e">
        <f>SUM(K146:L146)</f>
        <v>#REF!</v>
      </c>
    </row>
    <row r="147" spans="2:13" s="23" customFormat="1" ht="18" customHeight="1">
      <c r="B147" s="116">
        <v>3</v>
      </c>
      <c r="C147" s="117">
        <v>4</v>
      </c>
      <c r="D147" s="117">
        <v>0</v>
      </c>
      <c r="E147" s="118" t="s">
        <v>468</v>
      </c>
      <c r="F147" s="85"/>
      <c r="G147" s="119"/>
      <c r="H147" s="126"/>
      <c r="I147" s="126"/>
      <c r="J147" s="209" t="e">
        <f>SUM(J148:J150)</f>
        <v>#REF!</v>
      </c>
      <c r="K147" s="209" t="e">
        <f>SUM(K148:K150)</f>
        <v>#REF!</v>
      </c>
      <c r="L147" s="209" t="e">
        <f>SUM(L148:L150)</f>
        <v>#REF!</v>
      </c>
      <c r="M147" s="125" t="e">
        <f>SUM(M148:M150)</f>
        <v>#REF!</v>
      </c>
    </row>
    <row r="148" spans="2:13" s="23" customFormat="1" ht="18">
      <c r="B148" s="74">
        <v>3</v>
      </c>
      <c r="C148" s="69">
        <v>4</v>
      </c>
      <c r="D148" s="70">
        <v>1</v>
      </c>
      <c r="E148" s="153" t="s">
        <v>462</v>
      </c>
      <c r="F148" s="72" t="s">
        <v>373</v>
      </c>
      <c r="G148" s="73">
        <v>138.87</v>
      </c>
      <c r="H148" s="121" t="e">
        <f>'1 - Direct_DK_BoQ'!#REF!*'0 - Summary'!$H$19</f>
        <v>#REF!</v>
      </c>
      <c r="I148" s="121" t="e">
        <f>'1 - Direct_DK_BoQ'!#REF!*'0 - Summary'!$G$15</f>
        <v>#REF!</v>
      </c>
      <c r="J148" s="157" t="e">
        <f>(H148+I148)*G148</f>
        <v>#REF!</v>
      </c>
      <c r="K148" s="128" t="e">
        <f>H148*G148</f>
        <v>#REF!</v>
      </c>
      <c r="L148" s="128" t="e">
        <f>I148*G148</f>
        <v>#REF!</v>
      </c>
      <c r="M148" s="127" t="e">
        <f>SUM(K148:L148)</f>
        <v>#REF!</v>
      </c>
    </row>
    <row r="149" spans="2:13" s="23" customFormat="1" ht="18">
      <c r="B149" s="74">
        <v>3</v>
      </c>
      <c r="C149" s="69">
        <v>4</v>
      </c>
      <c r="D149" s="70">
        <v>2</v>
      </c>
      <c r="E149" s="153" t="s">
        <v>463</v>
      </c>
      <c r="F149" s="72" t="s">
        <v>373</v>
      </c>
      <c r="G149" s="73">
        <v>138.87</v>
      </c>
      <c r="H149" s="121" t="e">
        <f>'1 - Direct_DK_BoQ'!#REF!*'0 - Summary'!$H$19</f>
        <v>#REF!</v>
      </c>
      <c r="I149" s="121" t="e">
        <f>'1 - Direct_DK_BoQ'!#REF!*'0 - Summary'!$G$15</f>
        <v>#REF!</v>
      </c>
      <c r="J149" s="157" t="e">
        <f>(H149+I149)*G149</f>
        <v>#REF!</v>
      </c>
      <c r="K149" s="128" t="e">
        <f>H149*G149</f>
        <v>#REF!</v>
      </c>
      <c r="L149" s="128" t="e">
        <f>I149*G149</f>
        <v>#REF!</v>
      </c>
      <c r="M149" s="127" t="e">
        <f>SUM(K149:L149)</f>
        <v>#REF!</v>
      </c>
    </row>
    <row r="150" spans="2:13" s="23" customFormat="1" ht="18">
      <c r="B150" s="74">
        <v>3</v>
      </c>
      <c r="C150" s="69">
        <v>4</v>
      </c>
      <c r="D150" s="70">
        <v>3</v>
      </c>
      <c r="E150" s="153" t="s">
        <v>467</v>
      </c>
      <c r="F150" s="72" t="s">
        <v>373</v>
      </c>
      <c r="G150" s="73">
        <v>138.87</v>
      </c>
      <c r="H150" s="121" t="e">
        <f>'1 - Direct_DK_BoQ'!#REF!*'0 - Summary'!$H$19</f>
        <v>#REF!</v>
      </c>
      <c r="I150" s="121" t="e">
        <f>'1 - Direct_DK_BoQ'!#REF!*'0 - Summary'!$G$15</f>
        <v>#REF!</v>
      </c>
      <c r="J150" s="157" t="e">
        <f>(H150+I150)*G150</f>
        <v>#REF!</v>
      </c>
      <c r="K150" s="128" t="e">
        <f>H150*G150</f>
        <v>#REF!</v>
      </c>
      <c r="L150" s="128" t="e">
        <f>I150*G150</f>
        <v>#REF!</v>
      </c>
      <c r="M150" s="127" t="e">
        <f>SUM(K150:L150)</f>
        <v>#REF!</v>
      </c>
    </row>
    <row r="151" spans="2:13" s="23" customFormat="1" ht="18" customHeight="1">
      <c r="B151" s="116">
        <v>3</v>
      </c>
      <c r="C151" s="117">
        <v>5</v>
      </c>
      <c r="D151" s="117">
        <v>0</v>
      </c>
      <c r="E151" s="118" t="s">
        <v>469</v>
      </c>
      <c r="F151" s="85"/>
      <c r="G151" s="119"/>
      <c r="H151" s="126"/>
      <c r="I151" s="126"/>
      <c r="J151" s="209" t="e">
        <f>SUM(J152:J154)</f>
        <v>#REF!</v>
      </c>
      <c r="K151" s="209" t="e">
        <f>SUM(K152:K154)</f>
        <v>#REF!</v>
      </c>
      <c r="L151" s="209" t="e">
        <f>SUM(L152:L154)</f>
        <v>#REF!</v>
      </c>
      <c r="M151" s="125" t="e">
        <f>SUM(M152:M154)</f>
        <v>#REF!</v>
      </c>
    </row>
    <row r="152" spans="2:13" s="23" customFormat="1" ht="18">
      <c r="B152" s="74">
        <v>3</v>
      </c>
      <c r="C152" s="69">
        <v>5</v>
      </c>
      <c r="D152" s="70">
        <v>1</v>
      </c>
      <c r="E152" s="153" t="s">
        <v>462</v>
      </c>
      <c r="F152" s="72" t="s">
        <v>373</v>
      </c>
      <c r="G152" s="73">
        <v>70</v>
      </c>
      <c r="H152" s="121" t="e">
        <f>'1 - Direct_DK_BoQ'!#REF!*'0 - Summary'!$H$19</f>
        <v>#REF!</v>
      </c>
      <c r="I152" s="121" t="e">
        <f>'1 - Direct_DK_BoQ'!#REF!*'0 - Summary'!$G$15</f>
        <v>#REF!</v>
      </c>
      <c r="J152" s="157" t="e">
        <f>(H152+I152)*G152</f>
        <v>#REF!</v>
      </c>
      <c r="K152" s="128" t="e">
        <f>H152*G152</f>
        <v>#REF!</v>
      </c>
      <c r="L152" s="128" t="e">
        <f>I152*G152</f>
        <v>#REF!</v>
      </c>
      <c r="M152" s="127" t="e">
        <f>SUM(K152:L152)</f>
        <v>#REF!</v>
      </c>
    </row>
    <row r="153" spans="2:13" s="23" customFormat="1" ht="18">
      <c r="B153" s="74">
        <v>3</v>
      </c>
      <c r="C153" s="69">
        <v>5</v>
      </c>
      <c r="D153" s="70">
        <v>2</v>
      </c>
      <c r="E153" s="153" t="s">
        <v>463</v>
      </c>
      <c r="F153" s="72" t="s">
        <v>373</v>
      </c>
      <c r="G153" s="73">
        <v>70</v>
      </c>
      <c r="H153" s="121" t="e">
        <f>'1 - Direct_DK_BoQ'!#REF!*'0 - Summary'!$H$19</f>
        <v>#REF!</v>
      </c>
      <c r="I153" s="121" t="e">
        <f>'1 - Direct_DK_BoQ'!#REF!*'0 - Summary'!$G$15</f>
        <v>#REF!</v>
      </c>
      <c r="J153" s="157" t="e">
        <f>(H153+I153)*G153</f>
        <v>#REF!</v>
      </c>
      <c r="K153" s="128" t="e">
        <f>H153*G153</f>
        <v>#REF!</v>
      </c>
      <c r="L153" s="128" t="e">
        <f>I153*G153</f>
        <v>#REF!</v>
      </c>
      <c r="M153" s="127" t="e">
        <f>SUM(K153:L153)</f>
        <v>#REF!</v>
      </c>
    </row>
    <row r="154" spans="2:13" s="23" customFormat="1" ht="18">
      <c r="B154" s="74">
        <v>3</v>
      </c>
      <c r="C154" s="69">
        <v>5</v>
      </c>
      <c r="D154" s="70">
        <v>3</v>
      </c>
      <c r="E154" s="153" t="s">
        <v>470</v>
      </c>
      <c r="F154" s="72" t="s">
        <v>373</v>
      </c>
      <c r="G154" s="73">
        <v>70</v>
      </c>
      <c r="H154" s="121" t="e">
        <f>'1 - Direct_DK_BoQ'!#REF!*'0 - Summary'!$H$19</f>
        <v>#REF!</v>
      </c>
      <c r="I154" s="121" t="e">
        <f>'1 - Direct_DK_BoQ'!#REF!*'0 - Summary'!$G$15</f>
        <v>#REF!</v>
      </c>
      <c r="J154" s="157" t="e">
        <f>(H154+I154)*G154</f>
        <v>#REF!</v>
      </c>
      <c r="K154" s="128" t="e">
        <f>H154*G154</f>
        <v>#REF!</v>
      </c>
      <c r="L154" s="128" t="e">
        <f>I154*G154</f>
        <v>#REF!</v>
      </c>
      <c r="M154" s="127" t="e">
        <f>SUM(K154:L154)</f>
        <v>#REF!</v>
      </c>
    </row>
    <row r="155" spans="2:13" s="23" customFormat="1" ht="18" customHeight="1">
      <c r="B155" s="116">
        <v>3</v>
      </c>
      <c r="C155" s="117">
        <v>6</v>
      </c>
      <c r="D155" s="117">
        <v>0</v>
      </c>
      <c r="E155" s="118" t="s">
        <v>471</v>
      </c>
      <c r="F155" s="85"/>
      <c r="G155" s="119"/>
      <c r="H155" s="126"/>
      <c r="I155" s="126"/>
      <c r="J155" s="209" t="e">
        <f>SUM(J156:J158)</f>
        <v>#REF!</v>
      </c>
      <c r="K155" s="209" t="e">
        <f>SUM(K156:K158)</f>
        <v>#REF!</v>
      </c>
      <c r="L155" s="209" t="e">
        <f>SUM(L156:L158)</f>
        <v>#REF!</v>
      </c>
      <c r="M155" s="125" t="e">
        <f>SUM(M156:M158)</f>
        <v>#REF!</v>
      </c>
    </row>
    <row r="156" spans="2:13" s="23" customFormat="1" ht="18">
      <c r="B156" s="74">
        <v>3</v>
      </c>
      <c r="C156" s="69">
        <v>6</v>
      </c>
      <c r="D156" s="70">
        <v>1</v>
      </c>
      <c r="E156" s="153" t="s">
        <v>462</v>
      </c>
      <c r="F156" s="72" t="s">
        <v>373</v>
      </c>
      <c r="G156" s="73">
        <v>118.17</v>
      </c>
      <c r="H156" s="121" t="e">
        <f>'1 - Direct_DK_BoQ'!#REF!*'0 - Summary'!$H$19</f>
        <v>#REF!</v>
      </c>
      <c r="I156" s="121" t="e">
        <f>'1 - Direct_DK_BoQ'!#REF!*'0 - Summary'!$G$15</f>
        <v>#REF!</v>
      </c>
      <c r="J156" s="157" t="e">
        <f>(H156+I156)*G156</f>
        <v>#REF!</v>
      </c>
      <c r="K156" s="128" t="e">
        <f>H156*G156</f>
        <v>#REF!</v>
      </c>
      <c r="L156" s="128" t="e">
        <f>I156*G156</f>
        <v>#REF!</v>
      </c>
      <c r="M156" s="127" t="e">
        <f>SUM(K156:L156)</f>
        <v>#REF!</v>
      </c>
    </row>
    <row r="157" spans="2:13" s="23" customFormat="1" ht="18">
      <c r="B157" s="74">
        <v>3</v>
      </c>
      <c r="C157" s="69">
        <v>6</v>
      </c>
      <c r="D157" s="70">
        <v>2</v>
      </c>
      <c r="E157" s="153" t="s">
        <v>463</v>
      </c>
      <c r="F157" s="72" t="s">
        <v>373</v>
      </c>
      <c r="G157" s="73">
        <v>118.17</v>
      </c>
      <c r="H157" s="121" t="e">
        <f>'1 - Direct_DK_BoQ'!#REF!*'0 - Summary'!$H$19</f>
        <v>#REF!</v>
      </c>
      <c r="I157" s="121" t="e">
        <f>'1 - Direct_DK_BoQ'!#REF!*'0 - Summary'!$G$15</f>
        <v>#REF!</v>
      </c>
      <c r="J157" s="157" t="e">
        <f>(H157+I157)*G157</f>
        <v>#REF!</v>
      </c>
      <c r="K157" s="128" t="e">
        <f>H157*G157</f>
        <v>#REF!</v>
      </c>
      <c r="L157" s="128" t="e">
        <f>I157*G157</f>
        <v>#REF!</v>
      </c>
      <c r="M157" s="127" t="e">
        <f>SUM(K157:L157)</f>
        <v>#REF!</v>
      </c>
    </row>
    <row r="158" spans="2:13" s="23" customFormat="1" ht="18">
      <c r="B158" s="74">
        <v>3</v>
      </c>
      <c r="C158" s="69">
        <v>6</v>
      </c>
      <c r="D158" s="70">
        <v>3</v>
      </c>
      <c r="E158" s="153" t="s">
        <v>470</v>
      </c>
      <c r="F158" s="72" t="s">
        <v>373</v>
      </c>
      <c r="G158" s="73">
        <v>118.17</v>
      </c>
      <c r="H158" s="121" t="e">
        <f>'1 - Direct_DK_BoQ'!#REF!*'0 - Summary'!$H$19</f>
        <v>#REF!</v>
      </c>
      <c r="I158" s="121" t="e">
        <f>'1 - Direct_DK_BoQ'!#REF!*'0 - Summary'!$G$15</f>
        <v>#REF!</v>
      </c>
      <c r="J158" s="157" t="e">
        <f>(H158+I158)*G158</f>
        <v>#REF!</v>
      </c>
      <c r="K158" s="128" t="e">
        <f>H158*G158</f>
        <v>#REF!</v>
      </c>
      <c r="L158" s="128" t="e">
        <f>I158*G158</f>
        <v>#REF!</v>
      </c>
      <c r="M158" s="127" t="e">
        <f>SUM(K158:L158)</f>
        <v>#REF!</v>
      </c>
    </row>
    <row r="159" spans="2:13" s="23" customFormat="1" ht="18" customHeight="1">
      <c r="B159" s="82">
        <v>3</v>
      </c>
      <c r="C159" s="83">
        <v>7</v>
      </c>
      <c r="D159" s="83">
        <v>0</v>
      </c>
      <c r="E159" s="84" t="s">
        <v>472</v>
      </c>
      <c r="F159" s="85"/>
      <c r="G159" s="86"/>
      <c r="H159" s="126"/>
      <c r="I159" s="126"/>
      <c r="J159" s="209" t="e">
        <f>SUM(J160:J162)</f>
        <v>#REF!</v>
      </c>
      <c r="K159" s="209" t="e">
        <f>SUM(K160:K162)</f>
        <v>#REF!</v>
      </c>
      <c r="L159" s="209" t="e">
        <f>SUM(L160:L162)</f>
        <v>#REF!</v>
      </c>
      <c r="M159" s="125" t="e">
        <f>SUM(M160:M162)</f>
        <v>#REF!</v>
      </c>
    </row>
    <row r="160" spans="2:13" s="23" customFormat="1" ht="18">
      <c r="B160" s="74">
        <v>3</v>
      </c>
      <c r="C160" s="69">
        <v>7</v>
      </c>
      <c r="D160" s="70">
        <v>1</v>
      </c>
      <c r="E160" s="71" t="s">
        <v>462</v>
      </c>
      <c r="F160" s="72" t="s">
        <v>373</v>
      </c>
      <c r="G160" s="73">
        <v>21</v>
      </c>
      <c r="H160" s="121" t="e">
        <f>'1 - Direct_DK_BoQ'!#REF!*'0 - Summary'!$H$19</f>
        <v>#REF!</v>
      </c>
      <c r="I160" s="121" t="e">
        <f>'1 - Direct_DK_BoQ'!#REF!*'0 - Summary'!$G$15</f>
        <v>#REF!</v>
      </c>
      <c r="J160" s="157" t="e">
        <f>(H160+I160)*G160</f>
        <v>#REF!</v>
      </c>
      <c r="K160" s="128" t="e">
        <f>H160*G160</f>
        <v>#REF!</v>
      </c>
      <c r="L160" s="128" t="e">
        <f>I160*G160</f>
        <v>#REF!</v>
      </c>
      <c r="M160" s="127" t="e">
        <f>SUM(K160:L160)</f>
        <v>#REF!</v>
      </c>
    </row>
    <row r="161" spans="2:14" s="23" customFormat="1" ht="18">
      <c r="B161" s="74">
        <v>3</v>
      </c>
      <c r="C161" s="69">
        <v>7</v>
      </c>
      <c r="D161" s="70">
        <v>2</v>
      </c>
      <c r="E161" s="71" t="s">
        <v>463</v>
      </c>
      <c r="F161" s="72" t="s">
        <v>373</v>
      </c>
      <c r="G161" s="73">
        <v>21</v>
      </c>
      <c r="H161" s="121" t="e">
        <f>'1 - Direct_DK_BoQ'!#REF!*'0 - Summary'!$H$19</f>
        <v>#REF!</v>
      </c>
      <c r="I161" s="121" t="e">
        <f>'1 - Direct_DK_BoQ'!#REF!*'0 - Summary'!$G$15</f>
        <v>#REF!</v>
      </c>
      <c r="J161" s="157" t="e">
        <f>(H161+I161)*G161</f>
        <v>#REF!</v>
      </c>
      <c r="K161" s="128" t="e">
        <f>H161*G161</f>
        <v>#REF!</v>
      </c>
      <c r="L161" s="128" t="e">
        <f>I161*G161</f>
        <v>#REF!</v>
      </c>
      <c r="M161" s="127" t="e">
        <f>SUM(K161:L161)</f>
        <v>#REF!</v>
      </c>
    </row>
    <row r="162" spans="2:14" s="23" customFormat="1" ht="18">
      <c r="B162" s="74">
        <v>3</v>
      </c>
      <c r="C162" s="69">
        <v>7</v>
      </c>
      <c r="D162" s="70">
        <v>3</v>
      </c>
      <c r="E162" s="71" t="s">
        <v>470</v>
      </c>
      <c r="F162" s="72" t="s">
        <v>373</v>
      </c>
      <c r="G162" s="73">
        <v>21</v>
      </c>
      <c r="H162" s="121" t="e">
        <f>'1 - Direct_DK_BoQ'!#REF!*'0 - Summary'!$H$19</f>
        <v>#REF!</v>
      </c>
      <c r="I162" s="121" t="e">
        <f>'1 - Direct_DK_BoQ'!#REF!*'0 - Summary'!$G$15</f>
        <v>#REF!</v>
      </c>
      <c r="J162" s="157" t="e">
        <f>(H162+I162)*G162</f>
        <v>#REF!</v>
      </c>
      <c r="K162" s="128" t="e">
        <f>H162*G162</f>
        <v>#REF!</v>
      </c>
      <c r="L162" s="128" t="e">
        <f>I162*G162</f>
        <v>#REF!</v>
      </c>
      <c r="M162" s="127" t="e">
        <f>SUM(K162:L162)</f>
        <v>#REF!</v>
      </c>
    </row>
    <row r="163" spans="2:14" s="23" customFormat="1" ht="18" customHeight="1">
      <c r="B163" s="82">
        <v>3</v>
      </c>
      <c r="C163" s="83">
        <v>8</v>
      </c>
      <c r="D163" s="83">
        <v>0</v>
      </c>
      <c r="E163" s="84" t="s">
        <v>473</v>
      </c>
      <c r="F163" s="85"/>
      <c r="G163" s="86"/>
      <c r="H163" s="126"/>
      <c r="I163" s="126"/>
      <c r="J163" s="209" t="e">
        <f>SUM(J164:J166)</f>
        <v>#REF!</v>
      </c>
      <c r="K163" s="209" t="e">
        <f>SUM(K164:K166)</f>
        <v>#REF!</v>
      </c>
      <c r="L163" s="209" t="e">
        <f>SUM(L164:L166)</f>
        <v>#REF!</v>
      </c>
      <c r="M163" s="125" t="e">
        <f>SUM(M164:M166)</f>
        <v>#REF!</v>
      </c>
    </row>
    <row r="164" spans="2:14" s="23" customFormat="1" ht="36">
      <c r="B164" s="74">
        <v>3</v>
      </c>
      <c r="C164" s="69">
        <v>8</v>
      </c>
      <c r="D164" s="70">
        <v>1</v>
      </c>
      <c r="E164" s="71" t="s">
        <v>474</v>
      </c>
      <c r="F164" s="72" t="s">
        <v>373</v>
      </c>
      <c r="G164" s="73">
        <v>90.26</v>
      </c>
      <c r="H164" s="121" t="e">
        <f>'1 - Direct_DK_BoQ'!#REF!*'0 - Summary'!$H$19</f>
        <v>#REF!</v>
      </c>
      <c r="I164" s="121" t="e">
        <f>'1 - Direct_DK_BoQ'!#REF!*'0 - Summary'!$G$15</f>
        <v>#REF!</v>
      </c>
      <c r="J164" s="157" t="e">
        <f>(H164+I164)*G164</f>
        <v>#REF!</v>
      </c>
      <c r="K164" s="128" t="e">
        <f>H164*G164</f>
        <v>#REF!</v>
      </c>
      <c r="L164" s="128" t="e">
        <f>I164*G164</f>
        <v>#REF!</v>
      </c>
      <c r="M164" s="127" t="e">
        <f>SUM(K164:L164)</f>
        <v>#REF!</v>
      </c>
    </row>
    <row r="165" spans="2:14" s="23" customFormat="1" ht="18" customHeight="1">
      <c r="B165" s="116">
        <v>3</v>
      </c>
      <c r="C165" s="117">
        <v>9</v>
      </c>
      <c r="D165" s="117">
        <v>0</v>
      </c>
      <c r="E165" s="118" t="s">
        <v>475</v>
      </c>
      <c r="F165" s="85"/>
      <c r="G165" s="119"/>
      <c r="H165" s="126"/>
      <c r="I165" s="126"/>
      <c r="J165" s="209" t="e">
        <f>SUM(J166:J168)</f>
        <v>#REF!</v>
      </c>
      <c r="K165" s="209" t="e">
        <f>SUM(K166:K168)</f>
        <v>#REF!</v>
      </c>
      <c r="L165" s="209" t="e">
        <f>SUM(L166:L168)</f>
        <v>#REF!</v>
      </c>
      <c r="M165" s="125" t="e">
        <f>SUM(M166:M168)</f>
        <v>#REF!</v>
      </c>
    </row>
    <row r="166" spans="2:14" s="23" customFormat="1" ht="18">
      <c r="B166" s="74">
        <v>3</v>
      </c>
      <c r="C166" s="69">
        <v>9</v>
      </c>
      <c r="D166" s="70">
        <v>1</v>
      </c>
      <c r="E166" s="153" t="s">
        <v>462</v>
      </c>
      <c r="F166" s="72" t="s">
        <v>373</v>
      </c>
      <c r="G166" s="73">
        <v>49</v>
      </c>
      <c r="H166" s="121" t="e">
        <f>'1 - Direct_DK_BoQ'!#REF!*'0 - Summary'!$H$19</f>
        <v>#REF!</v>
      </c>
      <c r="I166" s="121" t="e">
        <f>'1 - Direct_DK_BoQ'!#REF!*'0 - Summary'!$G$15</f>
        <v>#REF!</v>
      </c>
      <c r="J166" s="157" t="e">
        <f>(H166+I166)*G166</f>
        <v>#REF!</v>
      </c>
      <c r="K166" s="128" t="e">
        <f>H166*G166</f>
        <v>#REF!</v>
      </c>
      <c r="L166" s="128" t="e">
        <f>I166*G166</f>
        <v>#REF!</v>
      </c>
      <c r="M166" s="127" t="e">
        <f>SUM(K166:L166)</f>
        <v>#REF!</v>
      </c>
    </row>
    <row r="167" spans="2:14" s="23" customFormat="1" ht="18">
      <c r="B167" s="74">
        <v>3</v>
      </c>
      <c r="C167" s="69">
        <v>9</v>
      </c>
      <c r="D167" s="70">
        <v>2</v>
      </c>
      <c r="E167" s="153" t="s">
        <v>463</v>
      </c>
      <c r="F167" s="72" t="s">
        <v>373</v>
      </c>
      <c r="G167" s="73">
        <v>49</v>
      </c>
      <c r="H167" s="121" t="e">
        <f>'1 - Direct_DK_BoQ'!#REF!*'0 - Summary'!$H$19</f>
        <v>#REF!</v>
      </c>
      <c r="I167" s="121" t="e">
        <f>'1 - Direct_DK_BoQ'!#REF!*'0 - Summary'!$G$15</f>
        <v>#REF!</v>
      </c>
      <c r="J167" s="157" t="e">
        <f>(H167+I167)*G167</f>
        <v>#REF!</v>
      </c>
      <c r="K167" s="128" t="e">
        <f>H167*G167</f>
        <v>#REF!</v>
      </c>
      <c r="L167" s="128" t="e">
        <f>I167*G167</f>
        <v>#REF!</v>
      </c>
      <c r="M167" s="127" t="e">
        <f>SUM(K167:L167)</f>
        <v>#REF!</v>
      </c>
    </row>
    <row r="168" spans="2:14" s="23" customFormat="1" ht="36">
      <c r="B168" s="74">
        <v>3</v>
      </c>
      <c r="C168" s="69">
        <v>1</v>
      </c>
      <c r="D168" s="70">
        <v>3</v>
      </c>
      <c r="E168" s="153" t="s">
        <v>476</v>
      </c>
      <c r="F168" s="72" t="s">
        <v>373</v>
      </c>
      <c r="G168" s="73">
        <v>49</v>
      </c>
      <c r="H168" s="121" t="e">
        <f>'1 - Direct_DK_BoQ'!#REF!*'0 - Summary'!$H$19</f>
        <v>#REF!</v>
      </c>
      <c r="I168" s="121" t="e">
        <f>'1 - Direct_DK_BoQ'!#REF!*'0 - Summary'!$G$15</f>
        <v>#REF!</v>
      </c>
      <c r="J168" s="157" t="e">
        <f>(H168+I168)*G168</f>
        <v>#REF!</v>
      </c>
      <c r="K168" s="128" t="e">
        <f>H168*G168</f>
        <v>#REF!</v>
      </c>
      <c r="L168" s="128" t="e">
        <f>I168*G168</f>
        <v>#REF!</v>
      </c>
      <c r="M168" s="127" t="e">
        <f>SUM(K168:L168)</f>
        <v>#REF!</v>
      </c>
    </row>
    <row r="169" spans="2:14" s="23" customFormat="1" ht="17.399999999999999">
      <c r="B169" s="92">
        <v>4</v>
      </c>
      <c r="C169" s="93">
        <v>0</v>
      </c>
      <c r="D169" s="93">
        <v>0</v>
      </c>
      <c r="E169" s="114" t="s">
        <v>477</v>
      </c>
      <c r="F169" s="89"/>
      <c r="G169" s="115"/>
      <c r="H169" s="124"/>
      <c r="I169" s="124"/>
      <c r="J169" s="196" t="e">
        <f>SUM(J170:J173)</f>
        <v>#REF!</v>
      </c>
      <c r="K169" s="196" t="e">
        <f>SUM(K170:K173)</f>
        <v>#REF!</v>
      </c>
      <c r="L169" s="196" t="e">
        <f>SUM(L170:L173)</f>
        <v>#REF!</v>
      </c>
      <c r="M169" s="196" t="e">
        <f>SUM(M170:M173)</f>
        <v>#REF!</v>
      </c>
      <c r="N169" s="195"/>
    </row>
    <row r="170" spans="2:14" s="23" customFormat="1" ht="18">
      <c r="B170" s="74">
        <v>4</v>
      </c>
      <c r="C170" s="69">
        <v>1</v>
      </c>
      <c r="D170" s="70">
        <v>1</v>
      </c>
      <c r="E170" s="153" t="s">
        <v>478</v>
      </c>
      <c r="F170" s="72" t="s">
        <v>270</v>
      </c>
      <c r="G170" s="73">
        <v>3</v>
      </c>
      <c r="H170" s="121" t="e">
        <f>'1 - Direct_DK_BoQ'!#REF!*'0 - Summary'!$H$19</f>
        <v>#REF!</v>
      </c>
      <c r="I170" s="121" t="e">
        <f>'1 - Direct_DK_BoQ'!#REF!*'0 - Summary'!$G$15</f>
        <v>#REF!</v>
      </c>
      <c r="J170" s="157" t="e">
        <f>(H170+I170)*G170</f>
        <v>#REF!</v>
      </c>
      <c r="K170" s="128" t="e">
        <f>H170*G170</f>
        <v>#REF!</v>
      </c>
      <c r="L170" s="128" t="e">
        <f>I170*G170</f>
        <v>#REF!</v>
      </c>
      <c r="M170" s="127" t="e">
        <f>SUM(K170:L170)</f>
        <v>#REF!</v>
      </c>
    </row>
    <row r="171" spans="2:14" s="23" customFormat="1" ht="18">
      <c r="B171" s="74">
        <v>4</v>
      </c>
      <c r="C171" s="69">
        <v>1</v>
      </c>
      <c r="D171" s="70">
        <v>2</v>
      </c>
      <c r="E171" s="153" t="s">
        <v>479</v>
      </c>
      <c r="F171" s="72" t="s">
        <v>373</v>
      </c>
      <c r="G171" s="73">
        <v>2.016</v>
      </c>
      <c r="H171" s="121" t="e">
        <f>'1 - Direct_DK_BoQ'!#REF!*'0 - Summary'!$H$19</f>
        <v>#REF!</v>
      </c>
      <c r="I171" s="121" t="e">
        <f>'1 - Direct_DK_BoQ'!#REF!*'0 - Summary'!$G$15</f>
        <v>#REF!</v>
      </c>
      <c r="J171" s="157" t="e">
        <f>(H171+I171)*G171</f>
        <v>#REF!</v>
      </c>
      <c r="K171" s="128" t="e">
        <f>H171*G171</f>
        <v>#REF!</v>
      </c>
      <c r="L171" s="128" t="e">
        <f>I171*G171</f>
        <v>#REF!</v>
      </c>
      <c r="M171" s="127" t="e">
        <f>SUM(K171:L171)</f>
        <v>#REF!</v>
      </c>
    </row>
    <row r="172" spans="2:14" s="23" customFormat="1" ht="18">
      <c r="B172" s="74">
        <v>4</v>
      </c>
      <c r="C172" s="69">
        <v>1</v>
      </c>
      <c r="D172" s="70">
        <v>3</v>
      </c>
      <c r="E172" s="153" t="s">
        <v>480</v>
      </c>
      <c r="F172" s="72" t="s">
        <v>270</v>
      </c>
      <c r="G172" s="73">
        <v>1</v>
      </c>
      <c r="H172" s="121" t="e">
        <f>'1 - Direct_DK_BoQ'!#REF!*'0 - Summary'!$H$19</f>
        <v>#REF!</v>
      </c>
      <c r="I172" s="121" t="e">
        <f>'1 - Direct_DK_BoQ'!#REF!*'0 - Summary'!$G$15</f>
        <v>#REF!</v>
      </c>
      <c r="J172" s="157" t="e">
        <f>(H172+I172)*G172</f>
        <v>#REF!</v>
      </c>
      <c r="K172" s="128" t="e">
        <f>H172*G172</f>
        <v>#REF!</v>
      </c>
      <c r="L172" s="128" t="e">
        <f>I172*G172</f>
        <v>#REF!</v>
      </c>
      <c r="M172" s="127" t="e">
        <f>SUM(K172:L172)</f>
        <v>#REF!</v>
      </c>
    </row>
    <row r="173" spans="2:14" s="23" customFormat="1" ht="18">
      <c r="B173" s="74">
        <v>4</v>
      </c>
      <c r="C173" s="69">
        <v>1</v>
      </c>
      <c r="D173" s="70">
        <v>4</v>
      </c>
      <c r="E173" s="153" t="s">
        <v>479</v>
      </c>
      <c r="F173" s="72" t="s">
        <v>373</v>
      </c>
      <c r="G173" s="73">
        <v>1</v>
      </c>
      <c r="H173" s="121" t="e">
        <f>'1 - Direct_DK_BoQ'!#REF!*'0 - Summary'!$H$19</f>
        <v>#REF!</v>
      </c>
      <c r="I173" s="121" t="e">
        <f>'1 - Direct_DK_BoQ'!#REF!*'0 - Summary'!$G$15</f>
        <v>#REF!</v>
      </c>
      <c r="J173" s="157" t="e">
        <f>(H173+I173)*G173</f>
        <v>#REF!</v>
      </c>
      <c r="K173" s="128" t="e">
        <f>H173*G173</f>
        <v>#REF!</v>
      </c>
      <c r="L173" s="128" t="e">
        <f>I173*G173</f>
        <v>#REF!</v>
      </c>
      <c r="M173" s="127" t="e">
        <f>SUM(K173:L173)</f>
        <v>#REF!</v>
      </c>
    </row>
    <row r="174" spans="2:14" s="23" customFormat="1" ht="17.399999999999999">
      <c r="B174" s="92">
        <v>5</v>
      </c>
      <c r="C174" s="93">
        <v>1</v>
      </c>
      <c r="D174" s="93">
        <v>0</v>
      </c>
      <c r="E174" s="114" t="s">
        <v>565</v>
      </c>
      <c r="F174" s="89"/>
      <c r="G174" s="115"/>
      <c r="H174" s="124"/>
      <c r="I174" s="124"/>
      <c r="J174" s="196" t="e">
        <f>SUM(J175:J182)</f>
        <v>#REF!</v>
      </c>
      <c r="K174" s="196" t="e">
        <f>SUM(K175:K182)</f>
        <v>#REF!</v>
      </c>
      <c r="L174" s="196" t="e">
        <f>SUM(L175:L182)</f>
        <v>#REF!</v>
      </c>
      <c r="M174" s="196" t="e">
        <f>SUM(M175:M182)</f>
        <v>#REF!</v>
      </c>
      <c r="N174" s="195"/>
    </row>
    <row r="175" spans="2:14" s="23" customFormat="1" ht="36">
      <c r="B175" s="74">
        <v>5</v>
      </c>
      <c r="C175" s="69">
        <v>1</v>
      </c>
      <c r="D175" s="70">
        <v>1</v>
      </c>
      <c r="E175" s="153" t="s">
        <v>623</v>
      </c>
      <c r="F175" s="72" t="s">
        <v>482</v>
      </c>
      <c r="G175" s="73">
        <v>230</v>
      </c>
      <c r="H175" s="121" t="e">
        <f>'1 - Direct_DK_BoQ'!#REF!*'0 - Summary'!$H$19</f>
        <v>#REF!</v>
      </c>
      <c r="I175" s="121" t="e">
        <f>'1 - Direct_DK_BoQ'!#REF!*'0 - Summary'!$G$15</f>
        <v>#REF!</v>
      </c>
      <c r="J175" s="157" t="e">
        <f t="shared" ref="J175:J180" si="12">(H175+I175)*G175</f>
        <v>#REF!</v>
      </c>
      <c r="K175" s="128" t="e">
        <f t="shared" ref="K175:K180" si="13">H175*G175</f>
        <v>#REF!</v>
      </c>
      <c r="L175" s="128" t="e">
        <f t="shared" ref="L175:L180" si="14">I175*G175</f>
        <v>#REF!</v>
      </c>
      <c r="M175" s="127" t="e">
        <f t="shared" ref="M175:M180" si="15">SUM(K175:L175)</f>
        <v>#REF!</v>
      </c>
    </row>
    <row r="176" spans="2:14" s="23" customFormat="1" ht="36">
      <c r="B176" s="74">
        <v>5</v>
      </c>
      <c r="C176" s="69">
        <v>1</v>
      </c>
      <c r="D176" s="70">
        <v>2</v>
      </c>
      <c r="E176" s="153" t="s">
        <v>624</v>
      </c>
      <c r="F176" s="72" t="s">
        <v>482</v>
      </c>
      <c r="G176" s="73">
        <v>65.48</v>
      </c>
      <c r="H176" s="121" t="e">
        <f>'1 - Direct_DK_BoQ'!#REF!*'0 - Summary'!$H$19</f>
        <v>#REF!</v>
      </c>
      <c r="I176" s="121" t="e">
        <f>'1 - Direct_DK_BoQ'!#REF!*'0 - Summary'!$G$15</f>
        <v>#REF!</v>
      </c>
      <c r="J176" s="157" t="e">
        <f t="shared" si="12"/>
        <v>#REF!</v>
      </c>
      <c r="K176" s="128" t="e">
        <f t="shared" si="13"/>
        <v>#REF!</v>
      </c>
      <c r="L176" s="128" t="e">
        <f t="shared" si="14"/>
        <v>#REF!</v>
      </c>
      <c r="M176" s="127" t="e">
        <f t="shared" si="15"/>
        <v>#REF!</v>
      </c>
    </row>
    <row r="177" spans="2:14" s="23" customFormat="1" ht="36">
      <c r="B177" s="74">
        <v>5</v>
      </c>
      <c r="C177" s="69">
        <v>1</v>
      </c>
      <c r="D177" s="70">
        <v>3</v>
      </c>
      <c r="E177" s="153" t="s">
        <v>625</v>
      </c>
      <c r="F177" s="72" t="s">
        <v>482</v>
      </c>
      <c r="G177" s="73">
        <v>120.36</v>
      </c>
      <c r="H177" s="121" t="e">
        <f>'1 - Direct_DK_BoQ'!#REF!*'0 - Summary'!$H$19</f>
        <v>#REF!</v>
      </c>
      <c r="I177" s="121" t="e">
        <f>'1 - Direct_DK_BoQ'!#REF!*'0 - Summary'!$G$15</f>
        <v>#REF!</v>
      </c>
      <c r="J177" s="157" t="e">
        <f t="shared" si="12"/>
        <v>#REF!</v>
      </c>
      <c r="K177" s="128" t="e">
        <f t="shared" si="13"/>
        <v>#REF!</v>
      </c>
      <c r="L177" s="128" t="e">
        <f t="shared" si="14"/>
        <v>#REF!</v>
      </c>
      <c r="M177" s="127" t="e">
        <f t="shared" si="15"/>
        <v>#REF!</v>
      </c>
    </row>
    <row r="178" spans="2:14" s="23" customFormat="1" ht="36">
      <c r="B178" s="74">
        <v>5</v>
      </c>
      <c r="C178" s="69">
        <v>1</v>
      </c>
      <c r="D178" s="70">
        <v>4</v>
      </c>
      <c r="E178" s="153" t="s">
        <v>626</v>
      </c>
      <c r="F178" s="72" t="s">
        <v>482</v>
      </c>
      <c r="G178" s="73">
        <v>67.44</v>
      </c>
      <c r="H178" s="121" t="e">
        <f>'1 - Direct_DK_BoQ'!#REF!*'0 - Summary'!$H$19</f>
        <v>#REF!</v>
      </c>
      <c r="I178" s="121" t="e">
        <f>'1 - Direct_DK_BoQ'!#REF!*'0 - Summary'!$G$15</f>
        <v>#REF!</v>
      </c>
      <c r="J178" s="157" t="e">
        <f t="shared" si="12"/>
        <v>#REF!</v>
      </c>
      <c r="K178" s="128" t="e">
        <f t="shared" si="13"/>
        <v>#REF!</v>
      </c>
      <c r="L178" s="128" t="e">
        <f t="shared" si="14"/>
        <v>#REF!</v>
      </c>
      <c r="M178" s="127" t="e">
        <f t="shared" si="15"/>
        <v>#REF!</v>
      </c>
    </row>
    <row r="179" spans="2:14" s="23" customFormat="1" ht="36">
      <c r="B179" s="74">
        <v>5</v>
      </c>
      <c r="C179" s="69">
        <v>1</v>
      </c>
      <c r="D179" s="70">
        <v>5</v>
      </c>
      <c r="E179" s="153" t="s">
        <v>627</v>
      </c>
      <c r="F179" s="72" t="s">
        <v>482</v>
      </c>
      <c r="G179" s="73">
        <v>73</v>
      </c>
      <c r="H179" s="121" t="e">
        <f>'1 - Direct_DK_BoQ'!#REF!*'0 - Summary'!$H$19</f>
        <v>#REF!</v>
      </c>
      <c r="I179" s="121" t="e">
        <f>'1 - Direct_DK_BoQ'!#REF!*'0 - Summary'!$G$15</f>
        <v>#REF!</v>
      </c>
      <c r="J179" s="157" t="e">
        <f t="shared" si="12"/>
        <v>#REF!</v>
      </c>
      <c r="K179" s="128" t="e">
        <f t="shared" si="13"/>
        <v>#REF!</v>
      </c>
      <c r="L179" s="128" t="e">
        <f t="shared" si="14"/>
        <v>#REF!</v>
      </c>
      <c r="M179" s="127" t="e">
        <f t="shared" si="15"/>
        <v>#REF!</v>
      </c>
    </row>
    <row r="180" spans="2:14" s="23" customFormat="1" ht="36">
      <c r="B180" s="74">
        <v>5</v>
      </c>
      <c r="C180" s="69">
        <v>1</v>
      </c>
      <c r="D180" s="70">
        <v>6</v>
      </c>
      <c r="E180" s="153" t="s">
        <v>628</v>
      </c>
      <c r="F180" s="72" t="s">
        <v>482</v>
      </c>
      <c r="G180" s="73">
        <v>80.63</v>
      </c>
      <c r="H180" s="121" t="e">
        <f>'1 - Direct_DK_BoQ'!#REF!*'0 - Summary'!$H$19</f>
        <v>#REF!</v>
      </c>
      <c r="I180" s="121" t="e">
        <f>'1 - Direct_DK_BoQ'!#REF!*'0 - Summary'!$G$15</f>
        <v>#REF!</v>
      </c>
      <c r="J180" s="157" t="e">
        <f t="shared" si="12"/>
        <v>#REF!</v>
      </c>
      <c r="K180" s="128" t="e">
        <f t="shared" si="13"/>
        <v>#REF!</v>
      </c>
      <c r="L180" s="128" t="e">
        <f t="shared" si="14"/>
        <v>#REF!</v>
      </c>
      <c r="M180" s="127" t="e">
        <f t="shared" si="15"/>
        <v>#REF!</v>
      </c>
    </row>
    <row r="181" spans="2:14" s="23" customFormat="1" ht="36">
      <c r="B181" s="74">
        <v>5</v>
      </c>
      <c r="C181" s="69">
        <v>1</v>
      </c>
      <c r="D181" s="70">
        <v>7</v>
      </c>
      <c r="E181" s="153" t="s">
        <v>629</v>
      </c>
      <c r="F181" s="72" t="s">
        <v>482</v>
      </c>
      <c r="G181" s="73">
        <v>108</v>
      </c>
      <c r="H181" s="121" t="e">
        <f>'1 - Direct_DK_BoQ'!#REF!*'0 - Summary'!$H$19</f>
        <v>#REF!</v>
      </c>
      <c r="I181" s="121" t="e">
        <f>'1 - Direct_DK_BoQ'!#REF!*'0 - Summary'!$G$15</f>
        <v>#REF!</v>
      </c>
      <c r="J181" s="157" t="e">
        <f t="shared" ref="J181:J182" si="16">(H181+I181)*G181</f>
        <v>#REF!</v>
      </c>
      <c r="K181" s="128" t="e">
        <f t="shared" ref="K181:K182" si="17">H181*G181</f>
        <v>#REF!</v>
      </c>
      <c r="L181" s="128" t="e">
        <f t="shared" ref="L181:L182" si="18">I181*G181</f>
        <v>#REF!</v>
      </c>
      <c r="M181" s="127" t="e">
        <f t="shared" ref="M181:M182" si="19">SUM(K181:L181)</f>
        <v>#REF!</v>
      </c>
    </row>
    <row r="182" spans="2:14" s="23" customFormat="1" ht="36">
      <c r="B182" s="74">
        <v>5</v>
      </c>
      <c r="C182" s="69">
        <v>1</v>
      </c>
      <c r="D182" s="70">
        <v>8</v>
      </c>
      <c r="E182" s="153" t="s">
        <v>630</v>
      </c>
      <c r="F182" s="72" t="s">
        <v>482</v>
      </c>
      <c r="G182" s="73">
        <v>78.400000000000006</v>
      </c>
      <c r="H182" s="121" t="e">
        <f>'1 - Direct_DK_BoQ'!#REF!*'0 - Summary'!$H$19</f>
        <v>#REF!</v>
      </c>
      <c r="I182" s="121" t="e">
        <f>'1 - Direct_DK_BoQ'!#REF!*'0 - Summary'!$G$15</f>
        <v>#REF!</v>
      </c>
      <c r="J182" s="157" t="e">
        <f t="shared" si="16"/>
        <v>#REF!</v>
      </c>
      <c r="K182" s="128" t="e">
        <f t="shared" si="17"/>
        <v>#REF!</v>
      </c>
      <c r="L182" s="128" t="e">
        <f t="shared" si="18"/>
        <v>#REF!</v>
      </c>
      <c r="M182" s="127" t="e">
        <f t="shared" si="19"/>
        <v>#REF!</v>
      </c>
    </row>
    <row r="183" spans="2:14" s="23" customFormat="1" ht="52.2">
      <c r="B183" s="267"/>
      <c r="C183" s="268"/>
      <c r="D183" s="268"/>
      <c r="E183" s="66" t="s">
        <v>483</v>
      </c>
      <c r="F183" s="67"/>
      <c r="G183" s="113"/>
      <c r="H183" s="122"/>
      <c r="I183" s="122"/>
      <c r="J183" s="156" t="e">
        <f>J184+J220+J226+J229+J249+J262+J269+J271+J273+J275+J278+J283</f>
        <v>#REF!</v>
      </c>
      <c r="K183" s="122"/>
      <c r="L183" s="122"/>
      <c r="M183" s="156" t="e">
        <f>M184+M220+M226+M229+M249+M262+M269+M271+M273+M275+M278+M283</f>
        <v>#REF!</v>
      </c>
      <c r="N183" s="195"/>
    </row>
    <row r="184" spans="2:14" s="23" customFormat="1" ht="17.399999999999999">
      <c r="B184" s="92">
        <v>1</v>
      </c>
      <c r="C184" s="93">
        <v>0</v>
      </c>
      <c r="D184" s="93">
        <v>0</v>
      </c>
      <c r="E184" s="114" t="s">
        <v>484</v>
      </c>
      <c r="F184" s="89"/>
      <c r="G184" s="115"/>
      <c r="H184" s="124"/>
      <c r="I184" s="124"/>
      <c r="J184" s="196" t="e">
        <f>J185+J187+J189+J191+J195+J198+J202+J205+J210+J213+J217</f>
        <v>#REF!</v>
      </c>
      <c r="K184" s="196" t="e">
        <f>K185+K187+K189+K191+K195+K198+K202+K205+K210+K213+K217</f>
        <v>#REF!</v>
      </c>
      <c r="L184" s="196" t="e">
        <f>L185+L187+L189+L191+L195+L198+L202+L205+L210+L213+L217</f>
        <v>#REF!</v>
      </c>
      <c r="M184" s="196" t="e">
        <f>M185+M187+M189+M191+M195+M198+M202+M205+M210+M213+M217</f>
        <v>#REF!</v>
      </c>
      <c r="N184" s="195"/>
    </row>
    <row r="185" spans="2:14" s="23" customFormat="1" ht="18" customHeight="1">
      <c r="B185" s="116">
        <v>1</v>
      </c>
      <c r="C185" s="117">
        <v>1</v>
      </c>
      <c r="D185" s="117">
        <v>0</v>
      </c>
      <c r="E185" s="118" t="s">
        <v>485</v>
      </c>
      <c r="F185" s="85"/>
      <c r="G185" s="119"/>
      <c r="H185" s="126"/>
      <c r="I185" s="126"/>
      <c r="J185" s="209" t="e">
        <f>SUM(J186:J188)</f>
        <v>#REF!</v>
      </c>
      <c r="K185" s="209" t="e">
        <f>SUM(K186:K188)</f>
        <v>#REF!</v>
      </c>
      <c r="L185" s="209" t="e">
        <f>SUM(L186:L188)</f>
        <v>#REF!</v>
      </c>
      <c r="M185" s="125" t="e">
        <f>SUM(M186:M188)</f>
        <v>#REF!</v>
      </c>
    </row>
    <row r="186" spans="2:14" s="23" customFormat="1" ht="36">
      <c r="B186" s="74">
        <v>1</v>
      </c>
      <c r="C186" s="69">
        <v>1</v>
      </c>
      <c r="D186" s="70">
        <v>1</v>
      </c>
      <c r="E186" s="153" t="s">
        <v>486</v>
      </c>
      <c r="F186" s="72" t="s">
        <v>373</v>
      </c>
      <c r="G186" s="73">
        <v>63.2</v>
      </c>
      <c r="H186" s="121" t="e">
        <f>'1 - Direct_DK_BoQ'!#REF!*'0 - Summary'!$H$19</f>
        <v>#REF!</v>
      </c>
      <c r="I186" s="121" t="e">
        <f>'1 - Direct_DK_BoQ'!#REF!*'0 - Summary'!$G$15</f>
        <v>#REF!</v>
      </c>
      <c r="J186" s="157" t="e">
        <f>(H186+I186)*G186</f>
        <v>#REF!</v>
      </c>
      <c r="K186" s="128" t="e">
        <f>H186*G186</f>
        <v>#REF!</v>
      </c>
      <c r="L186" s="128" t="e">
        <f>I186*G186</f>
        <v>#REF!</v>
      </c>
      <c r="M186" s="127" t="e">
        <f>SUM(K186:L186)</f>
        <v>#REF!</v>
      </c>
    </row>
    <row r="187" spans="2:14" s="23" customFormat="1" ht="18" customHeight="1">
      <c r="B187" s="116">
        <v>1</v>
      </c>
      <c r="C187" s="117">
        <v>2</v>
      </c>
      <c r="D187" s="117">
        <v>0</v>
      </c>
      <c r="E187" s="118" t="s">
        <v>487</v>
      </c>
      <c r="F187" s="85"/>
      <c r="G187" s="119"/>
      <c r="H187" s="126"/>
      <c r="I187" s="126"/>
      <c r="J187" s="209" t="e">
        <f>SUM(J188:J190)</f>
        <v>#REF!</v>
      </c>
      <c r="K187" s="209" t="e">
        <f>SUM(K188:K190)</f>
        <v>#REF!</v>
      </c>
      <c r="L187" s="209" t="e">
        <f>SUM(L188:L190)</f>
        <v>#REF!</v>
      </c>
      <c r="M187" s="125" t="e">
        <f>SUM(M188:M190)</f>
        <v>#REF!</v>
      </c>
    </row>
    <row r="188" spans="2:14" s="23" customFormat="1" ht="36">
      <c r="B188" s="74">
        <v>1</v>
      </c>
      <c r="C188" s="69">
        <v>2</v>
      </c>
      <c r="D188" s="70">
        <v>1</v>
      </c>
      <c r="E188" s="153" t="s">
        <v>488</v>
      </c>
      <c r="F188" s="72" t="s">
        <v>373</v>
      </c>
      <c r="G188" s="73">
        <v>50</v>
      </c>
      <c r="H188" s="121" t="e">
        <f>'1 - Direct_DK_BoQ'!#REF!*'0 - Summary'!$H$19</f>
        <v>#REF!</v>
      </c>
      <c r="I188" s="121" t="e">
        <f>'1 - Direct_DK_BoQ'!#REF!*'0 - Summary'!$G$15</f>
        <v>#REF!</v>
      </c>
      <c r="J188" s="157" t="e">
        <f>(H188+I188)*G188</f>
        <v>#REF!</v>
      </c>
      <c r="K188" s="128" t="e">
        <f>H188*G188</f>
        <v>#REF!</v>
      </c>
      <c r="L188" s="128" t="e">
        <f>I188*G188</f>
        <v>#REF!</v>
      </c>
      <c r="M188" s="127" t="e">
        <f>SUM(K188:L188)</f>
        <v>#REF!</v>
      </c>
    </row>
    <row r="189" spans="2:14" s="23" customFormat="1" ht="18" customHeight="1">
      <c r="B189" s="116">
        <v>1</v>
      </c>
      <c r="C189" s="117">
        <v>3</v>
      </c>
      <c r="D189" s="117">
        <v>0</v>
      </c>
      <c r="E189" s="118" t="s">
        <v>489</v>
      </c>
      <c r="F189" s="85"/>
      <c r="G189" s="119"/>
      <c r="H189" s="126"/>
      <c r="I189" s="126"/>
      <c r="J189" s="209" t="e">
        <f>SUM(J190:J192)</f>
        <v>#REF!</v>
      </c>
      <c r="K189" s="209" t="e">
        <f>SUM(K190:K192)</f>
        <v>#REF!</v>
      </c>
      <c r="L189" s="209" t="e">
        <f>SUM(L190:L192)</f>
        <v>#REF!</v>
      </c>
      <c r="M189" s="125" t="e">
        <f>SUM(M190:M192)</f>
        <v>#REF!</v>
      </c>
    </row>
    <row r="190" spans="2:14" s="23" customFormat="1" ht="36">
      <c r="B190" s="74">
        <v>1</v>
      </c>
      <c r="C190" s="69">
        <v>3</v>
      </c>
      <c r="D190" s="70">
        <v>1</v>
      </c>
      <c r="E190" s="153" t="s">
        <v>490</v>
      </c>
      <c r="F190" s="72" t="s">
        <v>373</v>
      </c>
      <c r="G190" s="73">
        <v>34.5</v>
      </c>
      <c r="H190" s="121" t="e">
        <f>'1 - Direct_DK_BoQ'!#REF!*'0 - Summary'!$H$19</f>
        <v>#REF!</v>
      </c>
      <c r="I190" s="121" t="e">
        <f>'1 - Direct_DK_BoQ'!#REF!*'0 - Summary'!$G$15</f>
        <v>#REF!</v>
      </c>
      <c r="J190" s="157" t="e">
        <f>(H190+I190)*G190</f>
        <v>#REF!</v>
      </c>
      <c r="K190" s="128" t="e">
        <f>H190*G190</f>
        <v>#REF!</v>
      </c>
      <c r="L190" s="128" t="e">
        <f>I190*G190</f>
        <v>#REF!</v>
      </c>
      <c r="M190" s="127" t="e">
        <f>SUM(K190:L190)</f>
        <v>#REF!</v>
      </c>
    </row>
    <row r="191" spans="2:14" s="23" customFormat="1" ht="18" customHeight="1">
      <c r="B191" s="116">
        <v>1</v>
      </c>
      <c r="C191" s="117">
        <v>4</v>
      </c>
      <c r="D191" s="117">
        <v>0</v>
      </c>
      <c r="E191" s="118" t="s">
        <v>494</v>
      </c>
      <c r="F191" s="85"/>
      <c r="G191" s="119"/>
      <c r="H191" s="126"/>
      <c r="I191" s="126"/>
      <c r="J191" s="209" t="e">
        <f>SUM(J192:J194)</f>
        <v>#REF!</v>
      </c>
      <c r="K191" s="209" t="e">
        <f>SUM(K192:K194)</f>
        <v>#REF!</v>
      </c>
      <c r="L191" s="209" t="e">
        <f>SUM(L192:L194)</f>
        <v>#REF!</v>
      </c>
      <c r="M191" s="125" t="e">
        <f>SUM(M192:M194)</f>
        <v>#REF!</v>
      </c>
    </row>
    <row r="192" spans="2:14" s="23" customFormat="1" ht="54">
      <c r="B192" s="74">
        <v>1</v>
      </c>
      <c r="C192" s="69">
        <v>4</v>
      </c>
      <c r="D192" s="70">
        <v>1</v>
      </c>
      <c r="E192" s="153" t="s">
        <v>491</v>
      </c>
      <c r="F192" s="72" t="s">
        <v>373</v>
      </c>
      <c r="G192" s="73">
        <v>72.5</v>
      </c>
      <c r="H192" s="121" t="e">
        <f>'1 - Direct_DK_BoQ'!#REF!*'0 - Summary'!$H$19</f>
        <v>#REF!</v>
      </c>
      <c r="I192" s="121" t="e">
        <f>'1 - Direct_DK_BoQ'!#REF!*'0 - Summary'!$G$15</f>
        <v>#REF!</v>
      </c>
      <c r="J192" s="157" t="e">
        <f>(H192+I192)*G192</f>
        <v>#REF!</v>
      </c>
      <c r="K192" s="128" t="e">
        <f>H192*G192</f>
        <v>#REF!</v>
      </c>
      <c r="L192" s="128" t="e">
        <f>I192*G192</f>
        <v>#REF!</v>
      </c>
      <c r="M192" s="127" t="e">
        <f>SUM(K192:L192)</f>
        <v>#REF!</v>
      </c>
    </row>
    <row r="193" spans="2:13" s="23" customFormat="1" ht="36">
      <c r="B193" s="74">
        <v>1</v>
      </c>
      <c r="C193" s="69">
        <v>4</v>
      </c>
      <c r="D193" s="70">
        <v>2</v>
      </c>
      <c r="E193" s="153" t="s">
        <v>492</v>
      </c>
      <c r="F193" s="72" t="s">
        <v>373</v>
      </c>
      <c r="G193" s="73">
        <v>72.5</v>
      </c>
      <c r="H193" s="121" t="e">
        <f>'1 - Direct_DK_BoQ'!#REF!*'0 - Summary'!$H$19</f>
        <v>#REF!</v>
      </c>
      <c r="I193" s="121" t="e">
        <f>'1 - Direct_DK_BoQ'!#REF!*'0 - Summary'!$G$15</f>
        <v>#REF!</v>
      </c>
      <c r="J193" s="157" t="e">
        <f>(H193+I193)*G193</f>
        <v>#REF!</v>
      </c>
      <c r="K193" s="128" t="e">
        <f>H193*G193</f>
        <v>#REF!</v>
      </c>
      <c r="L193" s="128" t="e">
        <f>I193*G193</f>
        <v>#REF!</v>
      </c>
      <c r="M193" s="127" t="e">
        <f>SUM(K193:L193)</f>
        <v>#REF!</v>
      </c>
    </row>
    <row r="194" spans="2:13" s="23" customFormat="1" ht="36">
      <c r="B194" s="74">
        <v>1</v>
      </c>
      <c r="C194" s="69">
        <v>4</v>
      </c>
      <c r="D194" s="70">
        <v>3</v>
      </c>
      <c r="E194" s="153" t="s">
        <v>493</v>
      </c>
      <c r="F194" s="72" t="s">
        <v>373</v>
      </c>
      <c r="G194" s="73">
        <v>72.5</v>
      </c>
      <c r="H194" s="121" t="e">
        <f>'1 - Direct_DK_BoQ'!#REF!*'0 - Summary'!$H$19</f>
        <v>#REF!</v>
      </c>
      <c r="I194" s="121" t="e">
        <f>'1 - Direct_DK_BoQ'!#REF!*'0 - Summary'!$G$15</f>
        <v>#REF!</v>
      </c>
      <c r="J194" s="157" t="e">
        <f>(H194+I194)*G194</f>
        <v>#REF!</v>
      </c>
      <c r="K194" s="128" t="e">
        <f>H194*G194</f>
        <v>#REF!</v>
      </c>
      <c r="L194" s="128" t="e">
        <f>I194*G194</f>
        <v>#REF!</v>
      </c>
      <c r="M194" s="127" t="e">
        <f>SUM(K194:L194)</f>
        <v>#REF!</v>
      </c>
    </row>
    <row r="195" spans="2:13" s="23" customFormat="1" ht="18" customHeight="1">
      <c r="B195" s="116">
        <v>1</v>
      </c>
      <c r="C195" s="117">
        <v>5</v>
      </c>
      <c r="D195" s="117">
        <v>0</v>
      </c>
      <c r="E195" s="118" t="s">
        <v>495</v>
      </c>
      <c r="F195" s="85"/>
      <c r="G195" s="119"/>
      <c r="H195" s="126"/>
      <c r="I195" s="126"/>
      <c r="J195" s="209" t="e">
        <f>SUM(J196:J198)</f>
        <v>#REF!</v>
      </c>
      <c r="K195" s="209" t="e">
        <f>SUM(K196:K198)</f>
        <v>#REF!</v>
      </c>
      <c r="L195" s="209" t="e">
        <f>SUM(L196:L198)</f>
        <v>#REF!</v>
      </c>
      <c r="M195" s="125" t="e">
        <f>SUM(M196:M198)</f>
        <v>#REF!</v>
      </c>
    </row>
    <row r="196" spans="2:13" s="23" customFormat="1" ht="36">
      <c r="B196" s="74">
        <v>1</v>
      </c>
      <c r="C196" s="69">
        <v>5</v>
      </c>
      <c r="D196" s="70">
        <v>1</v>
      </c>
      <c r="E196" s="153" t="s">
        <v>496</v>
      </c>
      <c r="F196" s="72" t="s">
        <v>373</v>
      </c>
      <c r="G196" s="73">
        <v>1.2</v>
      </c>
      <c r="H196" s="121" t="e">
        <f>'1 - Direct_DK_BoQ'!#REF!*'0 - Summary'!$H$19</f>
        <v>#REF!</v>
      </c>
      <c r="I196" s="121" t="e">
        <f>'1 - Direct_DK_BoQ'!#REF!*'0 - Summary'!$G$15</f>
        <v>#REF!</v>
      </c>
      <c r="J196" s="157" t="e">
        <f>(H196+I196)*G196</f>
        <v>#REF!</v>
      </c>
      <c r="K196" s="128" t="e">
        <f>H196*G196</f>
        <v>#REF!</v>
      </c>
      <c r="L196" s="128" t="e">
        <f>I196*G196</f>
        <v>#REF!</v>
      </c>
      <c r="M196" s="127" t="e">
        <f>SUM(K196:L196)</f>
        <v>#REF!</v>
      </c>
    </row>
    <row r="197" spans="2:13" s="23" customFormat="1" ht="18">
      <c r="B197" s="74">
        <v>1</v>
      </c>
      <c r="C197" s="69">
        <v>5</v>
      </c>
      <c r="D197" s="70">
        <v>2</v>
      </c>
      <c r="E197" s="153" t="s">
        <v>497</v>
      </c>
      <c r="F197" s="72" t="s">
        <v>373</v>
      </c>
      <c r="G197" s="73">
        <v>1.2</v>
      </c>
      <c r="H197" s="121" t="e">
        <f>'1 - Direct_DK_BoQ'!#REF!*'0 - Summary'!$H$19</f>
        <v>#REF!</v>
      </c>
      <c r="I197" s="121" t="e">
        <f>'1 - Direct_DK_BoQ'!#REF!*'0 - Summary'!$G$15</f>
        <v>#REF!</v>
      </c>
      <c r="J197" s="157" t="e">
        <f>(H197+I197)*G197</f>
        <v>#REF!</v>
      </c>
      <c r="K197" s="128" t="e">
        <f>H197*G197</f>
        <v>#REF!</v>
      </c>
      <c r="L197" s="128" t="e">
        <f>I197*G197</f>
        <v>#REF!</v>
      </c>
      <c r="M197" s="127" t="e">
        <f>SUM(K197:L197)</f>
        <v>#REF!</v>
      </c>
    </row>
    <row r="198" spans="2:13" s="23" customFormat="1" ht="18" customHeight="1">
      <c r="B198" s="116">
        <v>1</v>
      </c>
      <c r="C198" s="117">
        <v>6</v>
      </c>
      <c r="D198" s="117">
        <v>0</v>
      </c>
      <c r="E198" s="118" t="s">
        <v>498</v>
      </c>
      <c r="F198" s="85"/>
      <c r="G198" s="119"/>
      <c r="H198" s="126"/>
      <c r="I198" s="126"/>
      <c r="J198" s="209" t="e">
        <f>SUM(J199:J201)</f>
        <v>#REF!</v>
      </c>
      <c r="K198" s="209" t="e">
        <f>SUM(K199:K201)</f>
        <v>#REF!</v>
      </c>
      <c r="L198" s="209" t="e">
        <f>SUM(L199:L201)</f>
        <v>#REF!</v>
      </c>
      <c r="M198" s="125" t="e">
        <f>SUM(M199:M201)</f>
        <v>#REF!</v>
      </c>
    </row>
    <row r="199" spans="2:13" s="23" customFormat="1" ht="36">
      <c r="B199" s="74">
        <v>1</v>
      </c>
      <c r="C199" s="69">
        <v>6</v>
      </c>
      <c r="D199" s="70">
        <v>1</v>
      </c>
      <c r="E199" s="153" t="s">
        <v>493</v>
      </c>
      <c r="F199" s="72" t="s">
        <v>373</v>
      </c>
      <c r="G199" s="73">
        <v>160.422</v>
      </c>
      <c r="H199" s="121" t="e">
        <f>'1 - Direct_DK_BoQ'!#REF!*'0 - Summary'!$H$19</f>
        <v>#REF!</v>
      </c>
      <c r="I199" s="121" t="e">
        <f>'1 - Direct_DK_BoQ'!#REF!*'0 - Summary'!$G$15</f>
        <v>#REF!</v>
      </c>
      <c r="J199" s="157" t="e">
        <f>(H199+I199)*G199</f>
        <v>#REF!</v>
      </c>
      <c r="K199" s="128" t="e">
        <f>H199*G199</f>
        <v>#REF!</v>
      </c>
      <c r="L199" s="128" t="e">
        <f>I199*G199</f>
        <v>#REF!</v>
      </c>
      <c r="M199" s="127" t="e">
        <f>SUM(K199:L199)</f>
        <v>#REF!</v>
      </c>
    </row>
    <row r="200" spans="2:13" s="23" customFormat="1" ht="36">
      <c r="B200" s="74">
        <v>1</v>
      </c>
      <c r="C200" s="69">
        <v>6</v>
      </c>
      <c r="D200" s="70">
        <v>2</v>
      </c>
      <c r="E200" s="153" t="s">
        <v>499</v>
      </c>
      <c r="F200" s="72" t="s">
        <v>373</v>
      </c>
      <c r="G200" s="73">
        <v>160.422</v>
      </c>
      <c r="H200" s="121" t="e">
        <f>'1 - Direct_DK_BoQ'!#REF!*'0 - Summary'!$H$19</f>
        <v>#REF!</v>
      </c>
      <c r="I200" s="121" t="e">
        <f>'1 - Direct_DK_BoQ'!#REF!*'0 - Summary'!$G$15</f>
        <v>#REF!</v>
      </c>
      <c r="J200" s="157" t="e">
        <f>(H200+I200)*G200</f>
        <v>#REF!</v>
      </c>
      <c r="K200" s="128" t="e">
        <f>H200*G200</f>
        <v>#REF!</v>
      </c>
      <c r="L200" s="128" t="e">
        <f>I200*G200</f>
        <v>#REF!</v>
      </c>
      <c r="M200" s="127" t="e">
        <f>SUM(K200:L200)</f>
        <v>#REF!</v>
      </c>
    </row>
    <row r="201" spans="2:13" s="23" customFormat="1" ht="36">
      <c r="B201" s="74">
        <v>1</v>
      </c>
      <c r="C201" s="69">
        <v>6</v>
      </c>
      <c r="D201" s="70">
        <v>3</v>
      </c>
      <c r="E201" s="153" t="s">
        <v>500</v>
      </c>
      <c r="F201" s="72" t="s">
        <v>373</v>
      </c>
      <c r="G201" s="73">
        <v>160.422</v>
      </c>
      <c r="H201" s="121" t="e">
        <f>'1 - Direct_DK_BoQ'!#REF!*'0 - Summary'!$H$19</f>
        <v>#REF!</v>
      </c>
      <c r="I201" s="121" t="e">
        <f>'1 - Direct_DK_BoQ'!#REF!*'0 - Summary'!$G$15</f>
        <v>#REF!</v>
      </c>
      <c r="J201" s="157" t="e">
        <f>(H201+I201)*G201</f>
        <v>#REF!</v>
      </c>
      <c r="K201" s="128" t="e">
        <f>H201*G201</f>
        <v>#REF!</v>
      </c>
      <c r="L201" s="128" t="e">
        <f>I201*G201</f>
        <v>#REF!</v>
      </c>
      <c r="M201" s="127" t="e">
        <f>SUM(K201:L201)</f>
        <v>#REF!</v>
      </c>
    </row>
    <row r="202" spans="2:13" s="23" customFormat="1" ht="18" customHeight="1">
      <c r="B202" s="82">
        <v>1</v>
      </c>
      <c r="C202" s="83">
        <v>7</v>
      </c>
      <c r="D202" s="83">
        <v>0</v>
      </c>
      <c r="E202" s="84" t="s">
        <v>501</v>
      </c>
      <c r="F202" s="85"/>
      <c r="G202" s="86"/>
      <c r="H202" s="126"/>
      <c r="I202" s="126"/>
      <c r="J202" s="209" t="e">
        <f>SUM(J203:J205)</f>
        <v>#REF!</v>
      </c>
      <c r="K202" s="209" t="e">
        <f>SUM(K203:K205)</f>
        <v>#REF!</v>
      </c>
      <c r="L202" s="209" t="e">
        <f>SUM(L203:L205)</f>
        <v>#REF!</v>
      </c>
      <c r="M202" s="125" t="e">
        <f>SUM(M203:M205)</f>
        <v>#REF!</v>
      </c>
    </row>
    <row r="203" spans="2:13" s="23" customFormat="1" ht="36">
      <c r="B203" s="74">
        <v>1</v>
      </c>
      <c r="C203" s="69">
        <v>7</v>
      </c>
      <c r="D203" s="70">
        <v>1</v>
      </c>
      <c r="E203" s="71" t="s">
        <v>502</v>
      </c>
      <c r="F203" s="72" t="s">
        <v>373</v>
      </c>
      <c r="G203" s="73">
        <v>17.028000000000002</v>
      </c>
      <c r="H203" s="121" t="e">
        <f>'1 - Direct_DK_BoQ'!#REF!*'0 - Summary'!$H$19</f>
        <v>#REF!</v>
      </c>
      <c r="I203" s="121" t="e">
        <f>'1 - Direct_DK_BoQ'!#REF!*'0 - Summary'!$G$15</f>
        <v>#REF!</v>
      </c>
      <c r="J203" s="157" t="e">
        <f>(H203+I203)*G203</f>
        <v>#REF!</v>
      </c>
      <c r="K203" s="128" t="e">
        <f>H203*G203</f>
        <v>#REF!</v>
      </c>
      <c r="L203" s="128" t="e">
        <f>I203*G203</f>
        <v>#REF!</v>
      </c>
      <c r="M203" s="127" t="e">
        <f>SUM(K203:L203)</f>
        <v>#REF!</v>
      </c>
    </row>
    <row r="204" spans="2:13" s="23" customFormat="1" ht="36">
      <c r="B204" s="74">
        <v>1</v>
      </c>
      <c r="C204" s="69">
        <v>7</v>
      </c>
      <c r="D204" s="70">
        <v>2</v>
      </c>
      <c r="E204" s="71" t="s">
        <v>500</v>
      </c>
      <c r="F204" s="72" t="s">
        <v>373</v>
      </c>
      <c r="G204" s="73">
        <v>17.028000000000002</v>
      </c>
      <c r="H204" s="121" t="e">
        <f>'1 - Direct_DK_BoQ'!#REF!*'0 - Summary'!$H$19</f>
        <v>#REF!</v>
      </c>
      <c r="I204" s="121" t="e">
        <f>'1 - Direct_DK_BoQ'!#REF!*'0 - Summary'!$G$15</f>
        <v>#REF!</v>
      </c>
      <c r="J204" s="157" t="e">
        <f>(H204+I204)*G204</f>
        <v>#REF!</v>
      </c>
      <c r="K204" s="128" t="e">
        <f>H204*G204</f>
        <v>#REF!</v>
      </c>
      <c r="L204" s="128" t="e">
        <f>I204*G204</f>
        <v>#REF!</v>
      </c>
      <c r="M204" s="127" t="e">
        <f>SUM(K204:L204)</f>
        <v>#REF!</v>
      </c>
    </row>
    <row r="205" spans="2:13" s="23" customFormat="1" ht="18" customHeight="1">
      <c r="B205" s="82">
        <v>1</v>
      </c>
      <c r="C205" s="83">
        <v>8</v>
      </c>
      <c r="D205" s="83">
        <v>0</v>
      </c>
      <c r="E205" s="84" t="s">
        <v>503</v>
      </c>
      <c r="F205" s="85"/>
      <c r="G205" s="86"/>
      <c r="H205" s="126"/>
      <c r="I205" s="126"/>
      <c r="J205" s="209" t="e">
        <f>SUM(J206:J208)</f>
        <v>#REF!</v>
      </c>
      <c r="K205" s="209" t="e">
        <f>SUM(K206:K208)</f>
        <v>#REF!</v>
      </c>
      <c r="L205" s="209" t="e">
        <f>SUM(L206:L208)</f>
        <v>#REF!</v>
      </c>
      <c r="M205" s="125" t="e">
        <f>SUM(M206:M208)</f>
        <v>#REF!</v>
      </c>
    </row>
    <row r="206" spans="2:13" s="23" customFormat="1" ht="36">
      <c r="B206" s="74">
        <v>1</v>
      </c>
      <c r="C206" s="69">
        <v>8</v>
      </c>
      <c r="D206" s="70">
        <v>1</v>
      </c>
      <c r="E206" s="71" t="s">
        <v>493</v>
      </c>
      <c r="F206" s="72" t="s">
        <v>373</v>
      </c>
      <c r="G206" s="73">
        <v>12.769999999999998</v>
      </c>
      <c r="H206" s="121" t="e">
        <f>'1 - Direct_DK_BoQ'!#REF!*'0 - Summary'!$H$19</f>
        <v>#REF!</v>
      </c>
      <c r="I206" s="121" t="e">
        <f>'1 - Direct_DK_BoQ'!#REF!*'0 - Summary'!$G$15</f>
        <v>#REF!</v>
      </c>
      <c r="J206" s="157" t="e">
        <f>(H206+I206)*G206</f>
        <v>#REF!</v>
      </c>
      <c r="K206" s="128" t="e">
        <f>H206*G206</f>
        <v>#REF!</v>
      </c>
      <c r="L206" s="128" t="e">
        <f>I206*G206</f>
        <v>#REF!</v>
      </c>
      <c r="M206" s="127" t="e">
        <f>SUM(K206:L206)</f>
        <v>#REF!</v>
      </c>
    </row>
    <row r="207" spans="2:13" s="23" customFormat="1" ht="36">
      <c r="B207" s="74">
        <v>1</v>
      </c>
      <c r="C207" s="69">
        <v>8</v>
      </c>
      <c r="D207" s="70">
        <v>2</v>
      </c>
      <c r="E207" s="71" t="s">
        <v>499</v>
      </c>
      <c r="F207" s="72" t="s">
        <v>373</v>
      </c>
      <c r="G207" s="73">
        <v>12.769999999999998</v>
      </c>
      <c r="H207" s="121" t="e">
        <f>'1 - Direct_DK_BoQ'!#REF!*'0 - Summary'!$H$19</f>
        <v>#REF!</v>
      </c>
      <c r="I207" s="121" t="e">
        <f>'1 - Direct_DK_BoQ'!#REF!*'0 - Summary'!$G$15</f>
        <v>#REF!</v>
      </c>
      <c r="J207" s="157" t="e">
        <f>(H207+I207)*G207</f>
        <v>#REF!</v>
      </c>
      <c r="K207" s="128" t="e">
        <f>H207*G207</f>
        <v>#REF!</v>
      </c>
      <c r="L207" s="128" t="e">
        <f>I207*G207</f>
        <v>#REF!</v>
      </c>
      <c r="M207" s="127" t="e">
        <f>SUM(K207:L207)</f>
        <v>#REF!</v>
      </c>
    </row>
    <row r="208" spans="2:13" s="23" customFormat="1" ht="36">
      <c r="B208" s="74">
        <v>1</v>
      </c>
      <c r="C208" s="69">
        <v>8</v>
      </c>
      <c r="D208" s="70">
        <v>3</v>
      </c>
      <c r="E208" s="71" t="s">
        <v>504</v>
      </c>
      <c r="F208" s="72" t="s">
        <v>373</v>
      </c>
      <c r="G208" s="73">
        <v>12.769999999999998</v>
      </c>
      <c r="H208" s="121" t="e">
        <f>'1 - Direct_DK_BoQ'!#REF!*'0 - Summary'!$H$19</f>
        <v>#REF!</v>
      </c>
      <c r="I208" s="121" t="e">
        <f>'1 - Direct_DK_BoQ'!#REF!*'0 - Summary'!$G$15</f>
        <v>#REF!</v>
      </c>
      <c r="J208" s="157" t="e">
        <f>(H208+I208)*G208</f>
        <v>#REF!</v>
      </c>
      <c r="K208" s="128" t="e">
        <f>H208*G208</f>
        <v>#REF!</v>
      </c>
      <c r="L208" s="128" t="e">
        <f>I208*G208</f>
        <v>#REF!</v>
      </c>
      <c r="M208" s="127" t="e">
        <f>SUM(K208:L208)</f>
        <v>#REF!</v>
      </c>
    </row>
    <row r="209" spans="2:13" s="23" customFormat="1" ht="54">
      <c r="B209" s="74">
        <v>1</v>
      </c>
      <c r="C209" s="69">
        <v>8</v>
      </c>
      <c r="D209" s="70">
        <v>4</v>
      </c>
      <c r="E209" s="71" t="s">
        <v>505</v>
      </c>
      <c r="F209" s="72" t="s">
        <v>373</v>
      </c>
      <c r="G209" s="73">
        <v>12.769999999999998</v>
      </c>
      <c r="H209" s="121" t="e">
        <f>'1 - Direct_DK_BoQ'!#REF!*'0 - Summary'!$H$19</f>
        <v>#REF!</v>
      </c>
      <c r="I209" s="121" t="e">
        <f>'1 - Direct_DK_BoQ'!#REF!*'0 - Summary'!$G$15</f>
        <v>#REF!</v>
      </c>
      <c r="J209" s="157" t="e">
        <f>(H209+I209)*G209</f>
        <v>#REF!</v>
      </c>
      <c r="K209" s="128" t="e">
        <f>H209*G209</f>
        <v>#REF!</v>
      </c>
      <c r="L209" s="128" t="e">
        <f>I209*G209</f>
        <v>#REF!</v>
      </c>
      <c r="M209" s="127" t="e">
        <f>SUM(K209:L209)</f>
        <v>#REF!</v>
      </c>
    </row>
    <row r="210" spans="2:13" s="23" customFormat="1" ht="18" customHeight="1">
      <c r="B210" s="116">
        <v>1</v>
      </c>
      <c r="C210" s="117">
        <v>9</v>
      </c>
      <c r="D210" s="117">
        <v>0</v>
      </c>
      <c r="E210" s="118" t="s">
        <v>506</v>
      </c>
      <c r="F210" s="85"/>
      <c r="G210" s="119"/>
      <c r="H210" s="126"/>
      <c r="I210" s="126"/>
      <c r="J210" s="209" t="e">
        <f>SUM(J211:J213)</f>
        <v>#REF!</v>
      </c>
      <c r="K210" s="209" t="e">
        <f>SUM(K211:K213)</f>
        <v>#REF!</v>
      </c>
      <c r="L210" s="209" t="e">
        <f>SUM(L211:L213)</f>
        <v>#REF!</v>
      </c>
      <c r="M210" s="125" t="e">
        <f>SUM(M211:M213)</f>
        <v>#REF!</v>
      </c>
    </row>
    <row r="211" spans="2:13" s="23" customFormat="1" ht="36">
      <c r="B211" s="74">
        <v>1</v>
      </c>
      <c r="C211" s="69">
        <v>9</v>
      </c>
      <c r="D211" s="70">
        <v>1</v>
      </c>
      <c r="E211" s="153" t="s">
        <v>504</v>
      </c>
      <c r="F211" s="72" t="s">
        <v>373</v>
      </c>
      <c r="G211" s="73">
        <v>9.0400000000000009</v>
      </c>
      <c r="H211" s="121" t="e">
        <f>'1 - Direct_DK_BoQ'!#REF!*'0 - Summary'!$H$19</f>
        <v>#REF!</v>
      </c>
      <c r="I211" s="121" t="e">
        <f>'1 - Direct_DK_BoQ'!#REF!*'0 - Summary'!$G$15</f>
        <v>#REF!</v>
      </c>
      <c r="J211" s="157" t="e">
        <f>(H211+I211)*G211</f>
        <v>#REF!</v>
      </c>
      <c r="K211" s="128" t="e">
        <f>H211*G211</f>
        <v>#REF!</v>
      </c>
      <c r="L211" s="128" t="e">
        <f>I211*G211</f>
        <v>#REF!</v>
      </c>
      <c r="M211" s="127" t="e">
        <f>SUM(K211:L211)</f>
        <v>#REF!</v>
      </c>
    </row>
    <row r="212" spans="2:13" s="23" customFormat="1" ht="54">
      <c r="B212" s="74">
        <v>1</v>
      </c>
      <c r="C212" s="69">
        <v>9</v>
      </c>
      <c r="D212" s="70">
        <v>2</v>
      </c>
      <c r="E212" s="153" t="s">
        <v>505</v>
      </c>
      <c r="F212" s="72" t="s">
        <v>373</v>
      </c>
      <c r="G212" s="73">
        <v>9.0400000000000009</v>
      </c>
      <c r="H212" s="121" t="e">
        <f>'1 - Direct_DK_BoQ'!#REF!*'0 - Summary'!$H$19</f>
        <v>#REF!</v>
      </c>
      <c r="I212" s="121" t="e">
        <f>'1 - Direct_DK_BoQ'!#REF!*'0 - Summary'!$G$15</f>
        <v>#REF!</v>
      </c>
      <c r="J212" s="157" t="e">
        <f>(H212+I212)*G212</f>
        <v>#REF!</v>
      </c>
      <c r="K212" s="128" t="e">
        <f>H212*G212</f>
        <v>#REF!</v>
      </c>
      <c r="L212" s="128" t="e">
        <f>I212*G212</f>
        <v>#REF!</v>
      </c>
      <c r="M212" s="127" t="e">
        <f>SUM(K212:L212)</f>
        <v>#REF!</v>
      </c>
    </row>
    <row r="213" spans="2:13" s="23" customFormat="1" ht="18" customHeight="1">
      <c r="B213" s="82">
        <v>1</v>
      </c>
      <c r="C213" s="83">
        <v>10</v>
      </c>
      <c r="D213" s="83">
        <v>0</v>
      </c>
      <c r="E213" s="84" t="s">
        <v>509</v>
      </c>
      <c r="F213" s="85"/>
      <c r="G213" s="86"/>
      <c r="H213" s="126"/>
      <c r="I213" s="126"/>
      <c r="J213" s="209" t="e">
        <f>SUM(J214:J216)</f>
        <v>#REF!</v>
      </c>
      <c r="K213" s="209" t="e">
        <f>SUM(K214:K216)</f>
        <v>#REF!</v>
      </c>
      <c r="L213" s="209" t="e">
        <f>SUM(L214:L216)</f>
        <v>#REF!</v>
      </c>
      <c r="M213" s="125" t="e">
        <f>SUM(M214:M216)</f>
        <v>#REF!</v>
      </c>
    </row>
    <row r="214" spans="2:13" s="23" customFormat="1" ht="36">
      <c r="B214" s="74">
        <v>1</v>
      </c>
      <c r="C214" s="69">
        <v>10</v>
      </c>
      <c r="D214" s="70">
        <v>1</v>
      </c>
      <c r="E214" s="71" t="s">
        <v>493</v>
      </c>
      <c r="F214" s="72" t="s">
        <v>373</v>
      </c>
      <c r="G214" s="73">
        <v>57.05</v>
      </c>
      <c r="H214" s="121" t="e">
        <f>'1 - Direct_DK_BoQ'!#REF!*'0 - Summary'!$H$19</f>
        <v>#REF!</v>
      </c>
      <c r="I214" s="121" t="e">
        <f>'1 - Direct_DK_BoQ'!#REF!*'0 - Summary'!$G$15</f>
        <v>#REF!</v>
      </c>
      <c r="J214" s="157" t="e">
        <f>(H214+I214)*G214</f>
        <v>#REF!</v>
      </c>
      <c r="K214" s="128" t="e">
        <f>H214*G214</f>
        <v>#REF!</v>
      </c>
      <c r="L214" s="128" t="e">
        <f>I214*G214</f>
        <v>#REF!</v>
      </c>
      <c r="M214" s="127" t="e">
        <f>SUM(K214:L214)</f>
        <v>#REF!</v>
      </c>
    </row>
    <row r="215" spans="2:13" s="23" customFormat="1" ht="18">
      <c r="B215" s="74">
        <v>1</v>
      </c>
      <c r="C215" s="69">
        <v>10</v>
      </c>
      <c r="D215" s="70">
        <v>2</v>
      </c>
      <c r="E215" s="71" t="s">
        <v>507</v>
      </c>
      <c r="F215" s="72" t="s">
        <v>373</v>
      </c>
      <c r="G215" s="73">
        <v>57.05</v>
      </c>
      <c r="H215" s="121" t="e">
        <f>'1 - Direct_DK_BoQ'!#REF!*'0 - Summary'!$H$19</f>
        <v>#REF!</v>
      </c>
      <c r="I215" s="121" t="e">
        <f>'1 - Direct_DK_BoQ'!#REF!*'0 - Summary'!$G$15</f>
        <v>#REF!</v>
      </c>
      <c r="J215" s="157" t="e">
        <f>(H215+I215)*G215</f>
        <v>#REF!</v>
      </c>
      <c r="K215" s="128" t="e">
        <f>H215*G215</f>
        <v>#REF!</v>
      </c>
      <c r="L215" s="128" t="e">
        <f>I215*G215</f>
        <v>#REF!</v>
      </c>
      <c r="M215" s="127" t="e">
        <f>SUM(K215:L215)</f>
        <v>#REF!</v>
      </c>
    </row>
    <row r="216" spans="2:13" s="23" customFormat="1" ht="18">
      <c r="B216" s="74">
        <v>1</v>
      </c>
      <c r="C216" s="69">
        <v>10</v>
      </c>
      <c r="D216" s="70">
        <v>3</v>
      </c>
      <c r="E216" s="71" t="s">
        <v>508</v>
      </c>
      <c r="F216" s="72" t="s">
        <v>373</v>
      </c>
      <c r="G216" s="73">
        <v>57.05</v>
      </c>
      <c r="H216" s="121" t="e">
        <f>'1 - Direct_DK_BoQ'!#REF!*'0 - Summary'!$H$19</f>
        <v>#REF!</v>
      </c>
      <c r="I216" s="121" t="e">
        <f>'1 - Direct_DK_BoQ'!#REF!*'0 - Summary'!$G$15</f>
        <v>#REF!</v>
      </c>
      <c r="J216" s="157" t="e">
        <f>(H216+I216)*G216</f>
        <v>#REF!</v>
      </c>
      <c r="K216" s="128" t="e">
        <f>H216*G216</f>
        <v>#REF!</v>
      </c>
      <c r="L216" s="128" t="e">
        <f>I216*G216</f>
        <v>#REF!</v>
      </c>
      <c r="M216" s="127" t="e">
        <f>SUM(K216:L216)</f>
        <v>#REF!</v>
      </c>
    </row>
    <row r="217" spans="2:13" s="23" customFormat="1" ht="18" customHeight="1">
      <c r="B217" s="82">
        <v>1</v>
      </c>
      <c r="C217" s="83">
        <v>11</v>
      </c>
      <c r="D217" s="83">
        <v>0</v>
      </c>
      <c r="E217" s="84" t="s">
        <v>510</v>
      </c>
      <c r="F217" s="85"/>
      <c r="G217" s="86"/>
      <c r="H217" s="126"/>
      <c r="I217" s="126"/>
      <c r="J217" s="209" t="e">
        <f>SUM(J218:J220)</f>
        <v>#REF!</v>
      </c>
      <c r="K217" s="209" t="e">
        <f>SUM(K218:K220)</f>
        <v>#REF!</v>
      </c>
      <c r="L217" s="209" t="e">
        <f>SUM(L218:L220)</f>
        <v>#REF!</v>
      </c>
      <c r="M217" s="125" t="e">
        <f>SUM(M218:M220)</f>
        <v>#REF!</v>
      </c>
    </row>
    <row r="218" spans="2:13" s="23" customFormat="1" ht="18">
      <c r="B218" s="74">
        <v>1</v>
      </c>
      <c r="C218" s="69">
        <v>11</v>
      </c>
      <c r="D218" s="70">
        <v>1</v>
      </c>
      <c r="E218" s="71" t="s">
        <v>507</v>
      </c>
      <c r="F218" s="72" t="s">
        <v>373</v>
      </c>
      <c r="G218" s="73">
        <v>1.5</v>
      </c>
      <c r="H218" s="121" t="e">
        <f>'1 - Direct_DK_BoQ'!#REF!*'0 - Summary'!$H$19</f>
        <v>#REF!</v>
      </c>
      <c r="I218" s="121" t="e">
        <f>'1 - Direct_DK_BoQ'!#REF!*'0 - Summary'!$G$15</f>
        <v>#REF!</v>
      </c>
      <c r="J218" s="157" t="e">
        <f>(H218+I218)*G218</f>
        <v>#REF!</v>
      </c>
      <c r="K218" s="128" t="e">
        <f>H218*G218</f>
        <v>#REF!</v>
      </c>
      <c r="L218" s="128" t="e">
        <f>I218*G218</f>
        <v>#REF!</v>
      </c>
      <c r="M218" s="127" t="e">
        <f>SUM(K218:L218)</f>
        <v>#REF!</v>
      </c>
    </row>
    <row r="219" spans="2:13" s="23" customFormat="1" ht="18">
      <c r="B219" s="74">
        <v>1</v>
      </c>
      <c r="C219" s="69">
        <v>11</v>
      </c>
      <c r="D219" s="70">
        <v>2</v>
      </c>
      <c r="E219" s="71" t="s">
        <v>508</v>
      </c>
      <c r="F219" s="72" t="s">
        <v>373</v>
      </c>
      <c r="G219" s="73">
        <v>1.5</v>
      </c>
      <c r="H219" s="121" t="e">
        <f>'1 - Direct_DK_BoQ'!#REF!*'0 - Summary'!$H$19</f>
        <v>#REF!</v>
      </c>
      <c r="I219" s="121" t="e">
        <f>'1 - Direct_DK_BoQ'!#REF!*'0 - Summary'!$G$15</f>
        <v>#REF!</v>
      </c>
      <c r="J219" s="157" t="e">
        <f>(H219+I219)*G219</f>
        <v>#REF!</v>
      </c>
      <c r="K219" s="128" t="e">
        <f>H219*G219</f>
        <v>#REF!</v>
      </c>
      <c r="L219" s="128" t="e">
        <f>I219*G219</f>
        <v>#REF!</v>
      </c>
      <c r="M219" s="127" t="e">
        <f>SUM(K219:L219)</f>
        <v>#REF!</v>
      </c>
    </row>
    <row r="220" spans="2:13" s="23" customFormat="1" ht="17.399999999999999">
      <c r="B220" s="92">
        <v>2</v>
      </c>
      <c r="C220" s="93">
        <v>0</v>
      </c>
      <c r="D220" s="93">
        <v>0</v>
      </c>
      <c r="E220" s="114" t="s">
        <v>516</v>
      </c>
      <c r="F220" s="89"/>
      <c r="G220" s="115"/>
      <c r="H220" s="124"/>
      <c r="I220" s="124"/>
      <c r="J220" s="196" t="e">
        <f>SUM(J221:J225)</f>
        <v>#REF!</v>
      </c>
      <c r="K220" s="196" t="e">
        <f>SUM(K221:K225)</f>
        <v>#REF!</v>
      </c>
      <c r="L220" s="196" t="e">
        <f>SUM(L221:L225)</f>
        <v>#REF!</v>
      </c>
      <c r="M220" s="123" t="e">
        <f>SUM(M221:M225)</f>
        <v>#REF!</v>
      </c>
    </row>
    <row r="221" spans="2:13" s="23" customFormat="1" ht="36">
      <c r="B221" s="74">
        <v>2</v>
      </c>
      <c r="C221" s="69">
        <v>1</v>
      </c>
      <c r="D221" s="70">
        <v>1</v>
      </c>
      <c r="E221" s="153" t="s">
        <v>511</v>
      </c>
      <c r="F221" s="72" t="s">
        <v>270</v>
      </c>
      <c r="G221" s="73">
        <v>1</v>
      </c>
      <c r="H221" s="121" t="e">
        <f>'1 - Direct_DK_BoQ'!#REF!*'0 - Summary'!$H$19</f>
        <v>#REF!</v>
      </c>
      <c r="I221" s="121" t="e">
        <f>'1 - Direct_DK_BoQ'!#REF!*'0 - Summary'!$G$15</f>
        <v>#REF!</v>
      </c>
      <c r="J221" s="157" t="e">
        <f>(H221+I221)*G221</f>
        <v>#REF!</v>
      </c>
      <c r="K221" s="128" t="e">
        <f>H221*G221</f>
        <v>#REF!</v>
      </c>
      <c r="L221" s="128" t="e">
        <f>I221*G221</f>
        <v>#REF!</v>
      </c>
      <c r="M221" s="127" t="e">
        <f>SUM(K221:L221)</f>
        <v>#REF!</v>
      </c>
    </row>
    <row r="222" spans="2:13" s="23" customFormat="1" ht="36">
      <c r="B222" s="74">
        <v>2</v>
      </c>
      <c r="C222" s="69">
        <v>1</v>
      </c>
      <c r="D222" s="70">
        <v>2</v>
      </c>
      <c r="E222" s="153" t="s">
        <v>512</v>
      </c>
      <c r="F222" s="72" t="s">
        <v>270</v>
      </c>
      <c r="G222" s="73">
        <v>4</v>
      </c>
      <c r="H222" s="121" t="e">
        <f>'1 - Direct_DK_BoQ'!#REF!*'0 - Summary'!$H$19</f>
        <v>#REF!</v>
      </c>
      <c r="I222" s="121" t="e">
        <f>'1 - Direct_DK_BoQ'!#REF!*'0 - Summary'!$G$15</f>
        <v>#REF!</v>
      </c>
      <c r="J222" s="157" t="e">
        <f>(H222+I222)*G222</f>
        <v>#REF!</v>
      </c>
      <c r="K222" s="128" t="e">
        <f>H222*G222</f>
        <v>#REF!</v>
      </c>
      <c r="L222" s="128" t="e">
        <f>I222*G222</f>
        <v>#REF!</v>
      </c>
      <c r="M222" s="127" t="e">
        <f>SUM(K222:L222)</f>
        <v>#REF!</v>
      </c>
    </row>
    <row r="223" spans="2:13" s="23" customFormat="1" ht="36">
      <c r="B223" s="74">
        <v>2</v>
      </c>
      <c r="C223" s="69">
        <v>1</v>
      </c>
      <c r="D223" s="70">
        <v>3</v>
      </c>
      <c r="E223" s="153" t="s">
        <v>513</v>
      </c>
      <c r="F223" s="72" t="s">
        <v>270</v>
      </c>
      <c r="G223" s="73">
        <v>2</v>
      </c>
      <c r="H223" s="121" t="e">
        <f>'1 - Direct_DK_BoQ'!#REF!*'0 - Summary'!$H$19</f>
        <v>#REF!</v>
      </c>
      <c r="I223" s="121" t="e">
        <f>'1 - Direct_DK_BoQ'!#REF!*'0 - Summary'!$G$15</f>
        <v>#REF!</v>
      </c>
      <c r="J223" s="157" t="e">
        <f>(H223+I223)*G223</f>
        <v>#REF!</v>
      </c>
      <c r="K223" s="128" t="e">
        <f>H223*G223</f>
        <v>#REF!</v>
      </c>
      <c r="L223" s="128" t="e">
        <f>I223*G223</f>
        <v>#REF!</v>
      </c>
      <c r="M223" s="127" t="e">
        <f>SUM(K223:L223)</f>
        <v>#REF!</v>
      </c>
    </row>
    <row r="224" spans="2:13" ht="36">
      <c r="B224" s="74">
        <v>2</v>
      </c>
      <c r="C224" s="69">
        <v>1</v>
      </c>
      <c r="D224" s="70">
        <v>4</v>
      </c>
      <c r="E224" s="153" t="s">
        <v>514</v>
      </c>
      <c r="F224" s="72" t="s">
        <v>270</v>
      </c>
      <c r="G224" s="73">
        <v>1</v>
      </c>
      <c r="H224" s="121" t="e">
        <f>'1 - Direct_DK_BoQ'!#REF!*'0 - Summary'!$H$19</f>
        <v>#REF!</v>
      </c>
      <c r="I224" s="121" t="e">
        <f>'1 - Direct_DK_BoQ'!#REF!*'0 - Summary'!$G$15</f>
        <v>#REF!</v>
      </c>
      <c r="J224" s="157" t="e">
        <f>(H224+I224)*G224</f>
        <v>#REF!</v>
      </c>
      <c r="K224" s="128" t="e">
        <f>H224*G224</f>
        <v>#REF!</v>
      </c>
      <c r="L224" s="128" t="e">
        <f>I224*G224</f>
        <v>#REF!</v>
      </c>
      <c r="M224" s="127" t="e">
        <f>SUM(K224:L224)</f>
        <v>#REF!</v>
      </c>
    </row>
    <row r="225" spans="2:14" s="23" customFormat="1" ht="36">
      <c r="B225" s="74">
        <v>2</v>
      </c>
      <c r="C225" s="69">
        <v>1</v>
      </c>
      <c r="D225" s="70">
        <v>5</v>
      </c>
      <c r="E225" s="153" t="s">
        <v>515</v>
      </c>
      <c r="F225" s="72" t="s">
        <v>270</v>
      </c>
      <c r="G225" s="73">
        <v>1</v>
      </c>
      <c r="H225" s="121" t="e">
        <f>'1 - Direct_DK_BoQ'!#REF!*'0 - Summary'!$H$19</f>
        <v>#REF!</v>
      </c>
      <c r="I225" s="121" t="e">
        <f>'1 - Direct_DK_BoQ'!#REF!*'0 - Summary'!$G$15</f>
        <v>#REF!</v>
      </c>
      <c r="J225" s="157" t="e">
        <f>(H225+I225)*G225</f>
        <v>#REF!</v>
      </c>
      <c r="K225" s="128" t="e">
        <f>H225*G225</f>
        <v>#REF!</v>
      </c>
      <c r="L225" s="128" t="e">
        <f>I225*G225</f>
        <v>#REF!</v>
      </c>
      <c r="M225" s="127" t="e">
        <f>SUM(K225:L225)</f>
        <v>#REF!</v>
      </c>
    </row>
    <row r="226" spans="2:14" s="23" customFormat="1" ht="17.399999999999999">
      <c r="B226" s="92">
        <v>3</v>
      </c>
      <c r="C226" s="93">
        <v>0</v>
      </c>
      <c r="D226" s="93">
        <v>0</v>
      </c>
      <c r="E226" s="114" t="s">
        <v>517</v>
      </c>
      <c r="F226" s="89"/>
      <c r="G226" s="115"/>
      <c r="H226" s="124"/>
      <c r="I226" s="124"/>
      <c r="J226" s="196" t="e">
        <f>SUM(J227:J228)</f>
        <v>#REF!</v>
      </c>
      <c r="K226" s="196" t="e">
        <f>SUM(K227:K228)</f>
        <v>#REF!</v>
      </c>
      <c r="L226" s="196" t="e">
        <f>SUM(L227:L228)</f>
        <v>#REF!</v>
      </c>
      <c r="M226" s="196" t="e">
        <f>SUM(M227:M228)</f>
        <v>#REF!</v>
      </c>
      <c r="N226" s="195"/>
    </row>
    <row r="227" spans="2:14" s="23" customFormat="1" ht="18">
      <c r="B227" s="74">
        <v>3</v>
      </c>
      <c r="C227" s="69">
        <v>1</v>
      </c>
      <c r="D227" s="70">
        <v>1</v>
      </c>
      <c r="E227" s="153" t="s">
        <v>518</v>
      </c>
      <c r="F227" s="72" t="s">
        <v>270</v>
      </c>
      <c r="G227" s="73">
        <v>2</v>
      </c>
      <c r="H227" s="121" t="e">
        <f>'1 - Direct_DK_BoQ'!#REF!*'0 - Summary'!$H$19</f>
        <v>#REF!</v>
      </c>
      <c r="I227" s="121" t="e">
        <f>'1 - Direct_DK_BoQ'!#REF!*'0 - Summary'!$G$15</f>
        <v>#REF!</v>
      </c>
      <c r="J227" s="157" t="e">
        <f>(H227+I227)*G227</f>
        <v>#REF!</v>
      </c>
      <c r="K227" s="128" t="e">
        <f>H227*G227</f>
        <v>#REF!</v>
      </c>
      <c r="L227" s="128" t="e">
        <f>I227*G227</f>
        <v>#REF!</v>
      </c>
      <c r="M227" s="127" t="e">
        <f>SUM(K227:L227)</f>
        <v>#REF!</v>
      </c>
    </row>
    <row r="228" spans="2:14" s="23" customFormat="1" ht="18">
      <c r="B228" s="74">
        <v>3</v>
      </c>
      <c r="C228" s="69">
        <v>1</v>
      </c>
      <c r="D228" s="70">
        <v>2</v>
      </c>
      <c r="E228" s="153" t="s">
        <v>519</v>
      </c>
      <c r="F228" s="72" t="s">
        <v>270</v>
      </c>
      <c r="G228" s="73">
        <v>4</v>
      </c>
      <c r="H228" s="121" t="e">
        <f>'1 - Direct_DK_BoQ'!#REF!*'0 - Summary'!$H$19</f>
        <v>#REF!</v>
      </c>
      <c r="I228" s="121" t="e">
        <f>'1 - Direct_DK_BoQ'!#REF!*'0 - Summary'!$G$15</f>
        <v>#REF!</v>
      </c>
      <c r="J228" s="157" t="e">
        <f>(H228+I228)*G228</f>
        <v>#REF!</v>
      </c>
      <c r="K228" s="128" t="e">
        <f>H228*G228</f>
        <v>#REF!</v>
      </c>
      <c r="L228" s="128" t="e">
        <f>I228*G228</f>
        <v>#REF!</v>
      </c>
      <c r="M228" s="127" t="e">
        <f>SUM(K228:L228)</f>
        <v>#REF!</v>
      </c>
    </row>
    <row r="229" spans="2:14" s="23" customFormat="1" ht="17.399999999999999">
      <c r="B229" s="92">
        <v>4</v>
      </c>
      <c r="C229" s="93">
        <v>0</v>
      </c>
      <c r="D229" s="93">
        <v>0</v>
      </c>
      <c r="E229" s="114" t="s">
        <v>410</v>
      </c>
      <c r="F229" s="89"/>
      <c r="G229" s="115"/>
      <c r="H229" s="124"/>
      <c r="I229" s="124"/>
      <c r="J229" s="196" t="e">
        <f>J230+J236+J241+J246</f>
        <v>#REF!</v>
      </c>
      <c r="K229" s="196" t="e">
        <f>K230+K236+K241+K246</f>
        <v>#REF!</v>
      </c>
      <c r="L229" s="196" t="e">
        <f>L230+L236+L241+L246</f>
        <v>#REF!</v>
      </c>
      <c r="M229" s="196" t="e">
        <f>M230+M236+M241+M246</f>
        <v>#REF!</v>
      </c>
      <c r="N229" s="195"/>
    </row>
    <row r="230" spans="2:14" s="23" customFormat="1" ht="18" customHeight="1">
      <c r="B230" s="116">
        <v>4</v>
      </c>
      <c r="C230" s="117">
        <v>1</v>
      </c>
      <c r="D230" s="117">
        <v>0</v>
      </c>
      <c r="E230" s="118" t="s">
        <v>520</v>
      </c>
      <c r="F230" s="85"/>
      <c r="G230" s="119"/>
      <c r="H230" s="126"/>
      <c r="I230" s="126"/>
      <c r="J230" s="209" t="e">
        <f>SUM(J231:J233)</f>
        <v>#REF!</v>
      </c>
      <c r="K230" s="209" t="e">
        <f>SUM(K231:K233)</f>
        <v>#REF!</v>
      </c>
      <c r="L230" s="209" t="e">
        <f>SUM(L231:L233)</f>
        <v>#REF!</v>
      </c>
      <c r="M230" s="125" t="e">
        <f>SUM(M231:M233)</f>
        <v>#REF!</v>
      </c>
    </row>
    <row r="231" spans="2:14" s="23" customFormat="1" ht="18">
      <c r="B231" s="74">
        <v>4</v>
      </c>
      <c r="C231" s="69">
        <v>1</v>
      </c>
      <c r="D231" s="70">
        <v>1</v>
      </c>
      <c r="E231" s="153" t="s">
        <v>521</v>
      </c>
      <c r="F231" s="72" t="s">
        <v>373</v>
      </c>
      <c r="G231" s="73">
        <v>20</v>
      </c>
      <c r="H231" s="121" t="e">
        <f>'1 - Direct_DK_BoQ'!#REF!*'0 - Summary'!$H$19</f>
        <v>#REF!</v>
      </c>
      <c r="I231" s="121" t="e">
        <f>'1 - Direct_DK_BoQ'!#REF!*'0 - Summary'!$G$15</f>
        <v>#REF!</v>
      </c>
      <c r="J231" s="157" t="e">
        <f>(H231+I231)*G231</f>
        <v>#REF!</v>
      </c>
      <c r="K231" s="128" t="e">
        <f>H231*G231</f>
        <v>#REF!</v>
      </c>
      <c r="L231" s="128" t="e">
        <f>I231*G231</f>
        <v>#REF!</v>
      </c>
      <c r="M231" s="127" t="e">
        <f>SUM(K231:L231)</f>
        <v>#REF!</v>
      </c>
    </row>
    <row r="232" spans="2:14" s="23" customFormat="1" ht="18">
      <c r="B232" s="74">
        <v>4</v>
      </c>
      <c r="C232" s="69">
        <v>1</v>
      </c>
      <c r="D232" s="70">
        <v>2</v>
      </c>
      <c r="E232" s="153" t="s">
        <v>522</v>
      </c>
      <c r="F232" s="72" t="s">
        <v>373</v>
      </c>
      <c r="G232" s="73">
        <v>20</v>
      </c>
      <c r="H232" s="121" t="e">
        <f>'1 - Direct_DK_BoQ'!#REF!*'0 - Summary'!$H$19</f>
        <v>#REF!</v>
      </c>
      <c r="I232" s="121" t="e">
        <f>'1 - Direct_DK_BoQ'!#REF!*'0 - Summary'!$G$15</f>
        <v>#REF!</v>
      </c>
      <c r="J232" s="157" t="e">
        <f>(H232+I232)*G232</f>
        <v>#REF!</v>
      </c>
      <c r="K232" s="128" t="e">
        <f>H232*G232</f>
        <v>#REF!</v>
      </c>
      <c r="L232" s="128" t="e">
        <f>I232*G232</f>
        <v>#REF!</v>
      </c>
      <c r="M232" s="127" t="e">
        <f>SUM(K232:L232)</f>
        <v>#REF!</v>
      </c>
    </row>
    <row r="233" spans="2:14" s="23" customFormat="1" ht="18">
      <c r="B233" s="74">
        <v>4</v>
      </c>
      <c r="C233" s="69">
        <v>1</v>
      </c>
      <c r="D233" s="70">
        <v>3</v>
      </c>
      <c r="E233" s="153" t="s">
        <v>523</v>
      </c>
      <c r="F233" s="72" t="s">
        <v>373</v>
      </c>
      <c r="G233" s="73">
        <v>20</v>
      </c>
      <c r="H233" s="121" t="e">
        <f>'1 - Direct_DK_BoQ'!#REF!*'0 - Summary'!$H$19</f>
        <v>#REF!</v>
      </c>
      <c r="I233" s="121" t="e">
        <f>'1 - Direct_DK_BoQ'!#REF!*'0 - Summary'!$G$15</f>
        <v>#REF!</v>
      </c>
      <c r="J233" s="157" t="e">
        <f>(H233+I233)*G233</f>
        <v>#REF!</v>
      </c>
      <c r="K233" s="128" t="e">
        <f>H233*G233</f>
        <v>#REF!</v>
      </c>
      <c r="L233" s="128" t="e">
        <f>I233*G233</f>
        <v>#REF!</v>
      </c>
      <c r="M233" s="127" t="e">
        <f>SUM(K233:L233)</f>
        <v>#REF!</v>
      </c>
    </row>
    <row r="234" spans="2:14" s="23" customFormat="1" ht="18">
      <c r="B234" s="74">
        <v>4</v>
      </c>
      <c r="C234" s="69">
        <v>1</v>
      </c>
      <c r="D234" s="70">
        <v>4</v>
      </c>
      <c r="E234" s="153" t="s">
        <v>446</v>
      </c>
      <c r="F234" s="72" t="s">
        <v>373</v>
      </c>
      <c r="G234" s="73">
        <v>20</v>
      </c>
      <c r="H234" s="121" t="e">
        <f>'1 - Direct_DK_BoQ'!#REF!*'0 - Summary'!$H$19</f>
        <v>#REF!</v>
      </c>
      <c r="I234" s="121" t="e">
        <f>'1 - Direct_DK_BoQ'!#REF!*'0 - Summary'!$G$15</f>
        <v>#REF!</v>
      </c>
      <c r="J234" s="157" t="e">
        <f>(H234+I234)*G234</f>
        <v>#REF!</v>
      </c>
      <c r="K234" s="128" t="e">
        <f>H234*G234</f>
        <v>#REF!</v>
      </c>
      <c r="L234" s="128" t="e">
        <f>I234*G234</f>
        <v>#REF!</v>
      </c>
      <c r="M234" s="127" t="e">
        <f>SUM(K234:L234)</f>
        <v>#REF!</v>
      </c>
    </row>
    <row r="235" spans="2:14" s="23" customFormat="1" ht="18">
      <c r="B235" s="74">
        <v>4</v>
      </c>
      <c r="C235" s="69">
        <v>1</v>
      </c>
      <c r="D235" s="70">
        <v>5</v>
      </c>
      <c r="E235" s="153" t="s">
        <v>524</v>
      </c>
      <c r="F235" s="72" t="s">
        <v>373</v>
      </c>
      <c r="G235" s="73">
        <v>20</v>
      </c>
      <c r="H235" s="121" t="e">
        <f>'1 - Direct_DK_BoQ'!#REF!*'0 - Summary'!$H$19</f>
        <v>#REF!</v>
      </c>
      <c r="I235" s="121" t="e">
        <f>'1 - Direct_DK_BoQ'!#REF!*'0 - Summary'!$G$15</f>
        <v>#REF!</v>
      </c>
      <c r="J235" s="157" t="e">
        <f>(H235+I235)*G235</f>
        <v>#REF!</v>
      </c>
      <c r="K235" s="128" t="e">
        <f>H235*G235</f>
        <v>#REF!</v>
      </c>
      <c r="L235" s="128" t="e">
        <f>I235*G235</f>
        <v>#REF!</v>
      </c>
      <c r="M235" s="127" t="e">
        <f>SUM(K235:L235)</f>
        <v>#REF!</v>
      </c>
    </row>
    <row r="236" spans="2:14" s="23" customFormat="1" ht="18" customHeight="1">
      <c r="B236" s="116">
        <v>4</v>
      </c>
      <c r="C236" s="117">
        <v>2</v>
      </c>
      <c r="D236" s="117">
        <v>0</v>
      </c>
      <c r="E236" s="118" t="s">
        <v>525</v>
      </c>
      <c r="F236" s="85"/>
      <c r="G236" s="119"/>
      <c r="H236" s="126"/>
      <c r="I236" s="126"/>
      <c r="J236" s="209" t="e">
        <f>SUM(J237:J239)</f>
        <v>#REF!</v>
      </c>
      <c r="K236" s="209" t="e">
        <f>SUM(K237:K239)</f>
        <v>#REF!</v>
      </c>
      <c r="L236" s="209" t="e">
        <f>SUM(L237:L239)</f>
        <v>#REF!</v>
      </c>
      <c r="M236" s="125" t="e">
        <f>SUM(M237:M239)</f>
        <v>#REF!</v>
      </c>
    </row>
    <row r="237" spans="2:14" s="23" customFormat="1" ht="18">
      <c r="B237" s="74">
        <v>4</v>
      </c>
      <c r="C237" s="69">
        <v>2</v>
      </c>
      <c r="D237" s="70">
        <v>1</v>
      </c>
      <c r="E237" s="153" t="s">
        <v>526</v>
      </c>
      <c r="F237" s="72" t="s">
        <v>373</v>
      </c>
      <c r="G237" s="73">
        <v>5.6</v>
      </c>
      <c r="H237" s="121" t="e">
        <f>'1 - Direct_DK_BoQ'!#REF!*'0 - Summary'!$H$19</f>
        <v>#REF!</v>
      </c>
      <c r="I237" s="121" t="e">
        <f>'1 - Direct_DK_BoQ'!#REF!*'0 - Summary'!$G$15</f>
        <v>#REF!</v>
      </c>
      <c r="J237" s="157" t="e">
        <f>(H237+I237)*G237</f>
        <v>#REF!</v>
      </c>
      <c r="K237" s="128" t="e">
        <f>H237*G237</f>
        <v>#REF!</v>
      </c>
      <c r="L237" s="128" t="e">
        <f>I237*G237</f>
        <v>#REF!</v>
      </c>
      <c r="M237" s="127" t="e">
        <f>SUM(K237:L237)</f>
        <v>#REF!</v>
      </c>
    </row>
    <row r="238" spans="2:14" s="23" customFormat="1" ht="18">
      <c r="B238" s="74">
        <v>4</v>
      </c>
      <c r="C238" s="69">
        <v>2</v>
      </c>
      <c r="D238" s="70">
        <v>2</v>
      </c>
      <c r="E238" s="153" t="s">
        <v>446</v>
      </c>
      <c r="F238" s="72" t="s">
        <v>373</v>
      </c>
      <c r="G238" s="73">
        <v>5.6</v>
      </c>
      <c r="H238" s="121" t="e">
        <f>'1 - Direct_DK_BoQ'!#REF!*'0 - Summary'!$H$19</f>
        <v>#REF!</v>
      </c>
      <c r="I238" s="121" t="e">
        <f>'1 - Direct_DK_BoQ'!#REF!*'0 - Summary'!$G$15</f>
        <v>#REF!</v>
      </c>
      <c r="J238" s="157" t="e">
        <f>(H238+I238)*G238</f>
        <v>#REF!</v>
      </c>
      <c r="K238" s="128" t="e">
        <f>H238*G238</f>
        <v>#REF!</v>
      </c>
      <c r="L238" s="128" t="e">
        <f>I238*G238</f>
        <v>#REF!</v>
      </c>
      <c r="M238" s="127" t="e">
        <f>SUM(K238:L238)</f>
        <v>#REF!</v>
      </c>
    </row>
    <row r="239" spans="2:14" s="23" customFormat="1" ht="36">
      <c r="B239" s="74">
        <v>4</v>
      </c>
      <c r="C239" s="69">
        <v>2</v>
      </c>
      <c r="D239" s="70">
        <v>3</v>
      </c>
      <c r="E239" s="153" t="s">
        <v>527</v>
      </c>
      <c r="F239" s="72" t="s">
        <v>373</v>
      </c>
      <c r="G239" s="73">
        <v>5.6</v>
      </c>
      <c r="H239" s="121" t="e">
        <f>'1 - Direct_DK_BoQ'!#REF!*'0 - Summary'!$H$19</f>
        <v>#REF!</v>
      </c>
      <c r="I239" s="121" t="e">
        <f>'1 - Direct_DK_BoQ'!#REF!*'0 - Summary'!$G$15</f>
        <v>#REF!</v>
      </c>
      <c r="J239" s="157" t="e">
        <f>(H239+I239)*G239</f>
        <v>#REF!</v>
      </c>
      <c r="K239" s="128" t="e">
        <f>H239*G239</f>
        <v>#REF!</v>
      </c>
      <c r="L239" s="128" t="e">
        <f>I239*G239</f>
        <v>#REF!</v>
      </c>
      <c r="M239" s="127" t="e">
        <f>SUM(K239:L239)</f>
        <v>#REF!</v>
      </c>
    </row>
    <row r="240" spans="2:14" s="23" customFormat="1" ht="18">
      <c r="B240" s="74">
        <v>4</v>
      </c>
      <c r="C240" s="69">
        <v>2</v>
      </c>
      <c r="D240" s="70">
        <v>4</v>
      </c>
      <c r="E240" s="153" t="s">
        <v>528</v>
      </c>
      <c r="F240" s="72" t="s">
        <v>373</v>
      </c>
      <c r="G240" s="73">
        <v>5.6</v>
      </c>
      <c r="H240" s="121" t="e">
        <f>'1 - Direct_DK_BoQ'!#REF!*'0 - Summary'!$H$19</f>
        <v>#REF!</v>
      </c>
      <c r="I240" s="121" t="e">
        <f>'1 - Direct_DK_BoQ'!#REF!*'0 - Summary'!$G$15</f>
        <v>#REF!</v>
      </c>
      <c r="J240" s="157" t="e">
        <f>(H240+I240)*G240</f>
        <v>#REF!</v>
      </c>
      <c r="K240" s="128" t="e">
        <f>H240*G240</f>
        <v>#REF!</v>
      </c>
      <c r="L240" s="128" t="e">
        <f>I240*G240</f>
        <v>#REF!</v>
      </c>
      <c r="M240" s="127" t="e">
        <f>SUM(K240:L240)</f>
        <v>#REF!</v>
      </c>
    </row>
    <row r="241" spans="2:14" s="23" customFormat="1" ht="18" customHeight="1">
      <c r="B241" s="116">
        <v>4</v>
      </c>
      <c r="C241" s="117">
        <v>3</v>
      </c>
      <c r="D241" s="117">
        <v>0</v>
      </c>
      <c r="E241" s="118" t="s">
        <v>529</v>
      </c>
      <c r="F241" s="85"/>
      <c r="G241" s="119"/>
      <c r="H241" s="126"/>
      <c r="I241" s="126"/>
      <c r="J241" s="209" t="e">
        <f>SUM(J242:J244)</f>
        <v>#REF!</v>
      </c>
      <c r="K241" s="209" t="e">
        <f>SUM(K242:K244)</f>
        <v>#REF!</v>
      </c>
      <c r="L241" s="209" t="e">
        <f>SUM(L242:L244)</f>
        <v>#REF!</v>
      </c>
      <c r="M241" s="125" t="e">
        <f>SUM(M242:M244)</f>
        <v>#REF!</v>
      </c>
    </row>
    <row r="242" spans="2:14" s="23" customFormat="1" ht="18">
      <c r="B242" s="74">
        <v>4</v>
      </c>
      <c r="C242" s="69">
        <v>3</v>
      </c>
      <c r="D242" s="70">
        <v>1</v>
      </c>
      <c r="E242" s="153" t="s">
        <v>530</v>
      </c>
      <c r="F242" s="72" t="s">
        <v>373</v>
      </c>
      <c r="G242" s="73">
        <v>51</v>
      </c>
      <c r="H242" s="121" t="e">
        <f>'1 - Direct_DK_BoQ'!#REF!*'0 - Summary'!$H$19</f>
        <v>#REF!</v>
      </c>
      <c r="I242" s="121" t="e">
        <f>'1 - Direct_DK_BoQ'!#REF!*'0 - Summary'!$G$15</f>
        <v>#REF!</v>
      </c>
      <c r="J242" s="157" t="e">
        <f>(H242+I242)*G242</f>
        <v>#REF!</v>
      </c>
      <c r="K242" s="128" t="e">
        <f>H242*G242</f>
        <v>#REF!</v>
      </c>
      <c r="L242" s="128" t="e">
        <f>I242*G242</f>
        <v>#REF!</v>
      </c>
      <c r="M242" s="127" t="e">
        <f>SUM(K242:L242)</f>
        <v>#REF!</v>
      </c>
    </row>
    <row r="243" spans="2:14" s="23" customFormat="1" ht="18">
      <c r="B243" s="74">
        <v>4</v>
      </c>
      <c r="C243" s="69">
        <v>3</v>
      </c>
      <c r="D243" s="70">
        <v>2</v>
      </c>
      <c r="E243" s="153" t="s">
        <v>523</v>
      </c>
      <c r="F243" s="72" t="s">
        <v>373</v>
      </c>
      <c r="G243" s="73">
        <v>51</v>
      </c>
      <c r="H243" s="121" t="e">
        <f>'1 - Direct_DK_BoQ'!#REF!*'0 - Summary'!$H$19</f>
        <v>#REF!</v>
      </c>
      <c r="I243" s="121" t="e">
        <f>'1 - Direct_DK_BoQ'!#REF!*'0 - Summary'!$G$15</f>
        <v>#REF!</v>
      </c>
      <c r="J243" s="157" t="e">
        <f>(H243+I243)*G243</f>
        <v>#REF!</v>
      </c>
      <c r="K243" s="128" t="e">
        <f>H243*G243</f>
        <v>#REF!</v>
      </c>
      <c r="L243" s="128" t="e">
        <f>I243*G243</f>
        <v>#REF!</v>
      </c>
      <c r="M243" s="127" t="e">
        <f>SUM(K243:L243)</f>
        <v>#REF!</v>
      </c>
    </row>
    <row r="244" spans="2:14" s="23" customFormat="1" ht="18">
      <c r="B244" s="74">
        <v>4</v>
      </c>
      <c r="C244" s="69">
        <v>3</v>
      </c>
      <c r="D244" s="70">
        <v>3</v>
      </c>
      <c r="E244" s="153" t="s">
        <v>446</v>
      </c>
      <c r="F244" s="72" t="s">
        <v>373</v>
      </c>
      <c r="G244" s="73">
        <v>51</v>
      </c>
      <c r="H244" s="121" t="e">
        <f>'1 - Direct_DK_BoQ'!#REF!*'0 - Summary'!$H$19</f>
        <v>#REF!</v>
      </c>
      <c r="I244" s="121" t="e">
        <f>'1 - Direct_DK_BoQ'!#REF!*'0 - Summary'!$G$15</f>
        <v>#REF!</v>
      </c>
      <c r="J244" s="157" t="e">
        <f>(H244+I244)*G244</f>
        <v>#REF!</v>
      </c>
      <c r="K244" s="128" t="e">
        <f>H244*G244</f>
        <v>#REF!</v>
      </c>
      <c r="L244" s="128" t="e">
        <f>I244*G244</f>
        <v>#REF!</v>
      </c>
      <c r="M244" s="127" t="e">
        <f>SUM(K244:L244)</f>
        <v>#REF!</v>
      </c>
    </row>
    <row r="245" spans="2:14" s="23" customFormat="1" ht="18">
      <c r="B245" s="74">
        <v>4</v>
      </c>
      <c r="C245" s="69">
        <v>3</v>
      </c>
      <c r="D245" s="70">
        <v>4</v>
      </c>
      <c r="E245" s="153" t="s">
        <v>531</v>
      </c>
      <c r="F245" s="72" t="s">
        <v>373</v>
      </c>
      <c r="G245" s="73">
        <v>51</v>
      </c>
      <c r="H245" s="121" t="e">
        <f>'1 - Direct_DK_BoQ'!#REF!*'0 - Summary'!$H$19</f>
        <v>#REF!</v>
      </c>
      <c r="I245" s="121" t="e">
        <f>'1 - Direct_DK_BoQ'!#REF!*'0 - Summary'!$G$15</f>
        <v>#REF!</v>
      </c>
      <c r="J245" s="157" t="e">
        <f>(H245+I245)*G245</f>
        <v>#REF!</v>
      </c>
      <c r="K245" s="128" t="e">
        <f>H245*G245</f>
        <v>#REF!</v>
      </c>
      <c r="L245" s="128" t="e">
        <f>I245*G245</f>
        <v>#REF!</v>
      </c>
      <c r="M245" s="127" t="e">
        <f>SUM(K245:L245)</f>
        <v>#REF!</v>
      </c>
    </row>
    <row r="246" spans="2:14" s="23" customFormat="1" ht="18" customHeight="1">
      <c r="B246" s="116">
        <v>4</v>
      </c>
      <c r="C246" s="117">
        <v>4</v>
      </c>
      <c r="D246" s="117">
        <v>0</v>
      </c>
      <c r="E246" s="118" t="s">
        <v>532</v>
      </c>
      <c r="F246" s="85"/>
      <c r="G246" s="119"/>
      <c r="H246" s="126"/>
      <c r="I246" s="126"/>
      <c r="J246" s="209" t="e">
        <f>SUM(J247:J249)</f>
        <v>#REF!</v>
      </c>
      <c r="K246" s="209" t="e">
        <f>SUM(K247:K249)</f>
        <v>#REF!</v>
      </c>
      <c r="L246" s="209" t="e">
        <f>SUM(L247:L249)</f>
        <v>#REF!</v>
      </c>
      <c r="M246" s="125" t="e">
        <f>SUM(M247:M249)</f>
        <v>#REF!</v>
      </c>
    </row>
    <row r="247" spans="2:14" s="23" customFormat="1" ht="18">
      <c r="B247" s="74">
        <v>4</v>
      </c>
      <c r="C247" s="69">
        <v>4</v>
      </c>
      <c r="D247" s="70">
        <v>1</v>
      </c>
      <c r="E247" s="153" t="s">
        <v>533</v>
      </c>
      <c r="F247" s="72" t="s">
        <v>482</v>
      </c>
      <c r="G247" s="73">
        <v>23</v>
      </c>
      <c r="H247" s="121" t="e">
        <f>'1 - Direct_DK_BoQ'!#REF!*'0 - Summary'!$H$19</f>
        <v>#REF!</v>
      </c>
      <c r="I247" s="121" t="e">
        <f>'1 - Direct_DK_BoQ'!#REF!*'0 - Summary'!$G$15</f>
        <v>#REF!</v>
      </c>
      <c r="J247" s="157" t="e">
        <f>(H247+I247)*G247</f>
        <v>#REF!</v>
      </c>
      <c r="K247" s="128" t="e">
        <f>H247*G247</f>
        <v>#REF!</v>
      </c>
      <c r="L247" s="128" t="e">
        <f>I247*G247</f>
        <v>#REF!</v>
      </c>
      <c r="M247" s="127" t="e">
        <f>SUM(K247:L247)</f>
        <v>#REF!</v>
      </c>
    </row>
    <row r="248" spans="2:14" s="23" customFormat="1" ht="18">
      <c r="B248" s="74">
        <v>4</v>
      </c>
      <c r="C248" s="69">
        <v>4</v>
      </c>
      <c r="D248" s="70">
        <v>2</v>
      </c>
      <c r="E248" s="153" t="s">
        <v>534</v>
      </c>
      <c r="F248" s="72" t="s">
        <v>482</v>
      </c>
      <c r="G248" s="73">
        <v>71</v>
      </c>
      <c r="H248" s="121" t="e">
        <f>'1 - Direct_DK_BoQ'!#REF!*'0 - Summary'!$H$19</f>
        <v>#REF!</v>
      </c>
      <c r="I248" s="121" t="e">
        <f>'1 - Direct_DK_BoQ'!#REF!*'0 - Summary'!$G$15</f>
        <v>#REF!</v>
      </c>
      <c r="J248" s="157" t="e">
        <f>(H248+I248)*G248</f>
        <v>#REF!</v>
      </c>
      <c r="K248" s="128" t="e">
        <f>H248*G248</f>
        <v>#REF!</v>
      </c>
      <c r="L248" s="128" t="e">
        <f>I248*G248</f>
        <v>#REF!</v>
      </c>
      <c r="M248" s="127" t="e">
        <f>SUM(K248:L248)</f>
        <v>#REF!</v>
      </c>
    </row>
    <row r="249" spans="2:14" s="23" customFormat="1" ht="17.399999999999999">
      <c r="B249" s="92">
        <v>5</v>
      </c>
      <c r="C249" s="93">
        <v>0</v>
      </c>
      <c r="D249" s="93">
        <v>0</v>
      </c>
      <c r="E249" s="114" t="s">
        <v>460</v>
      </c>
      <c r="F249" s="89"/>
      <c r="G249" s="115"/>
      <c r="H249" s="124"/>
      <c r="I249" s="124"/>
      <c r="J249" s="196" t="e">
        <f>J250+J254+J258</f>
        <v>#REF!</v>
      </c>
      <c r="K249" s="196" t="e">
        <f>K250+K254+K258</f>
        <v>#REF!</v>
      </c>
      <c r="L249" s="196" t="e">
        <f>L250+L254+L258</f>
        <v>#REF!</v>
      </c>
      <c r="M249" s="196" t="e">
        <f>M250+M254+M258</f>
        <v>#REF!</v>
      </c>
      <c r="N249" s="195"/>
    </row>
    <row r="250" spans="2:14" s="23" customFormat="1" ht="18" customHeight="1">
      <c r="B250" s="116">
        <v>5</v>
      </c>
      <c r="C250" s="117">
        <v>1</v>
      </c>
      <c r="D250" s="117">
        <v>0</v>
      </c>
      <c r="E250" s="118" t="s">
        <v>535</v>
      </c>
      <c r="F250" s="85"/>
      <c r="G250" s="119"/>
      <c r="H250" s="126"/>
      <c r="I250" s="126"/>
      <c r="J250" s="209" t="e">
        <f>SUM(J251:J253)</f>
        <v>#REF!</v>
      </c>
      <c r="K250" s="209" t="e">
        <f>SUM(K251:K253)</f>
        <v>#REF!</v>
      </c>
      <c r="L250" s="209" t="e">
        <f>SUM(L251:L253)</f>
        <v>#REF!</v>
      </c>
      <c r="M250" s="125" t="e">
        <f>SUM(M251:M253)</f>
        <v>#REF!</v>
      </c>
    </row>
    <row r="251" spans="2:14" s="23" customFormat="1" ht="18">
      <c r="B251" s="74">
        <v>5</v>
      </c>
      <c r="C251" s="69">
        <v>1</v>
      </c>
      <c r="D251" s="70">
        <v>1</v>
      </c>
      <c r="E251" s="153" t="s">
        <v>536</v>
      </c>
      <c r="F251" s="72" t="s">
        <v>373</v>
      </c>
      <c r="G251" s="73">
        <v>18.38</v>
      </c>
      <c r="H251" s="121" t="e">
        <f>'1 - Direct_DK_BoQ'!#REF!*'0 - Summary'!$H$19</f>
        <v>#REF!</v>
      </c>
      <c r="I251" s="121" t="e">
        <f>'1 - Direct_DK_BoQ'!#REF!*'0 - Summary'!$G$15</f>
        <v>#REF!</v>
      </c>
      <c r="J251" s="157" t="e">
        <f>(H251+I251)*G251</f>
        <v>#REF!</v>
      </c>
      <c r="K251" s="128" t="e">
        <f>H251*G251</f>
        <v>#REF!</v>
      </c>
      <c r="L251" s="128" t="e">
        <f>I251*G251</f>
        <v>#REF!</v>
      </c>
      <c r="M251" s="127" t="e">
        <f>SUM(K251:L251)</f>
        <v>#REF!</v>
      </c>
    </row>
    <row r="252" spans="2:14" s="23" customFormat="1" ht="18">
      <c r="B252" s="74">
        <v>5</v>
      </c>
      <c r="C252" s="69">
        <v>1</v>
      </c>
      <c r="D252" s="70">
        <v>2</v>
      </c>
      <c r="E252" s="153" t="s">
        <v>537</v>
      </c>
      <c r="F252" s="72" t="s">
        <v>373</v>
      </c>
      <c r="G252" s="73">
        <v>18.38</v>
      </c>
      <c r="H252" s="121" t="e">
        <f>'1 - Direct_DK_BoQ'!#REF!*'0 - Summary'!$H$19</f>
        <v>#REF!</v>
      </c>
      <c r="I252" s="121" t="e">
        <f>'1 - Direct_DK_BoQ'!#REF!*'0 - Summary'!$G$15</f>
        <v>#REF!</v>
      </c>
      <c r="J252" s="157" t="e">
        <f>(H252+I252)*G252</f>
        <v>#REF!</v>
      </c>
      <c r="K252" s="128" t="e">
        <f>H252*G252</f>
        <v>#REF!</v>
      </c>
      <c r="L252" s="128" t="e">
        <f>I252*G252</f>
        <v>#REF!</v>
      </c>
      <c r="M252" s="127" t="e">
        <f>SUM(K252:L252)</f>
        <v>#REF!</v>
      </c>
    </row>
    <row r="253" spans="2:14" s="23" customFormat="1" ht="18">
      <c r="B253" s="74">
        <v>5</v>
      </c>
      <c r="C253" s="69">
        <v>1</v>
      </c>
      <c r="D253" s="70">
        <v>3</v>
      </c>
      <c r="E253" s="153" t="s">
        <v>538</v>
      </c>
      <c r="F253" s="72" t="s">
        <v>373</v>
      </c>
      <c r="G253" s="73">
        <v>18.38</v>
      </c>
      <c r="H253" s="121" t="e">
        <f>'1 - Direct_DK_BoQ'!#REF!*'0 - Summary'!$H$19</f>
        <v>#REF!</v>
      </c>
      <c r="I253" s="121" t="e">
        <f>'1 - Direct_DK_BoQ'!#REF!*'0 - Summary'!$G$15</f>
        <v>#REF!</v>
      </c>
      <c r="J253" s="157" t="e">
        <f>(H253+I253)*G253</f>
        <v>#REF!</v>
      </c>
      <c r="K253" s="128" t="e">
        <f>H253*G253</f>
        <v>#REF!</v>
      </c>
      <c r="L253" s="128" t="e">
        <f>I253*G253</f>
        <v>#REF!</v>
      </c>
      <c r="M253" s="127" t="e">
        <f>SUM(K253:L253)</f>
        <v>#REF!</v>
      </c>
    </row>
    <row r="254" spans="2:14" s="23" customFormat="1" ht="18" customHeight="1">
      <c r="B254" s="116">
        <v>5</v>
      </c>
      <c r="C254" s="117">
        <v>2</v>
      </c>
      <c r="D254" s="117">
        <v>0</v>
      </c>
      <c r="E254" s="118" t="s">
        <v>539</v>
      </c>
      <c r="F254" s="85"/>
      <c r="G254" s="119"/>
      <c r="H254" s="126"/>
      <c r="I254" s="126"/>
      <c r="J254" s="209" t="e">
        <f>SUM(J255:J257)</f>
        <v>#REF!</v>
      </c>
      <c r="K254" s="209" t="e">
        <f>SUM(K255:K257)</f>
        <v>#REF!</v>
      </c>
      <c r="L254" s="209" t="e">
        <f>SUM(L255:L257)</f>
        <v>#REF!</v>
      </c>
      <c r="M254" s="125" t="e">
        <f>SUM(M255:M257)</f>
        <v>#REF!</v>
      </c>
    </row>
    <row r="255" spans="2:14" s="23" customFormat="1" ht="18">
      <c r="B255" s="74">
        <v>5</v>
      </c>
      <c r="C255" s="69">
        <v>2</v>
      </c>
      <c r="D255" s="70">
        <v>1</v>
      </c>
      <c r="E255" s="153" t="s">
        <v>540</v>
      </c>
      <c r="F255" s="72" t="s">
        <v>373</v>
      </c>
      <c r="G255" s="73">
        <v>6.14</v>
      </c>
      <c r="H255" s="121" t="e">
        <f>'1 - Direct_DK_BoQ'!#REF!*'0 - Summary'!$H$19</f>
        <v>#REF!</v>
      </c>
      <c r="I255" s="121" t="e">
        <f>'1 - Direct_DK_BoQ'!#REF!*'0 - Summary'!$G$15</f>
        <v>#REF!</v>
      </c>
      <c r="J255" s="157" t="e">
        <f>(H255+I255)*G255</f>
        <v>#REF!</v>
      </c>
      <c r="K255" s="128" t="e">
        <f>H255*G255</f>
        <v>#REF!</v>
      </c>
      <c r="L255" s="128" t="e">
        <f>I255*G255</f>
        <v>#REF!</v>
      </c>
      <c r="M255" s="127" t="e">
        <f>SUM(K255:L255)</f>
        <v>#REF!</v>
      </c>
    </row>
    <row r="256" spans="2:14" s="23" customFormat="1" ht="18">
      <c r="B256" s="74">
        <v>5</v>
      </c>
      <c r="C256" s="69">
        <v>2</v>
      </c>
      <c r="D256" s="70">
        <v>2</v>
      </c>
      <c r="E256" s="153" t="s">
        <v>537</v>
      </c>
      <c r="F256" s="72" t="s">
        <v>373</v>
      </c>
      <c r="G256" s="73">
        <v>6.14</v>
      </c>
      <c r="H256" s="121" t="e">
        <f>'1 - Direct_DK_BoQ'!#REF!*'0 - Summary'!$H$19</f>
        <v>#REF!</v>
      </c>
      <c r="I256" s="121" t="e">
        <f>'1 - Direct_DK_BoQ'!#REF!*'0 - Summary'!$G$15</f>
        <v>#REF!</v>
      </c>
      <c r="J256" s="157" t="e">
        <f>(H256+I256)*G256</f>
        <v>#REF!</v>
      </c>
      <c r="K256" s="128" t="e">
        <f>H256*G256</f>
        <v>#REF!</v>
      </c>
      <c r="L256" s="128" t="e">
        <f>I256*G256</f>
        <v>#REF!</v>
      </c>
      <c r="M256" s="127" t="e">
        <f>SUM(K256:L256)</f>
        <v>#REF!</v>
      </c>
    </row>
    <row r="257" spans="2:14" s="23" customFormat="1" ht="18">
      <c r="B257" s="74">
        <v>5</v>
      </c>
      <c r="C257" s="69">
        <v>2</v>
      </c>
      <c r="D257" s="70">
        <v>3</v>
      </c>
      <c r="E257" s="153" t="s">
        <v>538</v>
      </c>
      <c r="F257" s="72" t="s">
        <v>373</v>
      </c>
      <c r="G257" s="73">
        <v>6.14</v>
      </c>
      <c r="H257" s="121" t="e">
        <f>'1 - Direct_DK_BoQ'!#REF!*'0 - Summary'!$H$19</f>
        <v>#REF!</v>
      </c>
      <c r="I257" s="121" t="e">
        <f>'1 - Direct_DK_BoQ'!#REF!*'0 - Summary'!$G$15</f>
        <v>#REF!</v>
      </c>
      <c r="J257" s="157" t="e">
        <f>(H257+I257)*G257</f>
        <v>#REF!</v>
      </c>
      <c r="K257" s="128" t="e">
        <f>H257*G257</f>
        <v>#REF!</v>
      </c>
      <c r="L257" s="128" t="e">
        <f>I257*G257</f>
        <v>#REF!</v>
      </c>
      <c r="M257" s="127" t="e">
        <f>SUM(K257:L257)</f>
        <v>#REF!</v>
      </c>
    </row>
    <row r="258" spans="2:14" s="23" customFormat="1" ht="18" customHeight="1">
      <c r="B258" s="116">
        <v>5</v>
      </c>
      <c r="C258" s="117">
        <v>3</v>
      </c>
      <c r="D258" s="117">
        <v>0</v>
      </c>
      <c r="E258" s="118" t="s">
        <v>541</v>
      </c>
      <c r="F258" s="85"/>
      <c r="G258" s="119"/>
      <c r="H258" s="126"/>
      <c r="I258" s="126"/>
      <c r="J258" s="209" t="e">
        <f>SUM(J259:J261)</f>
        <v>#REF!</v>
      </c>
      <c r="K258" s="209" t="e">
        <f>SUM(K259:K261)</f>
        <v>#REF!</v>
      </c>
      <c r="L258" s="209" t="e">
        <f>SUM(L259:L261)</f>
        <v>#REF!</v>
      </c>
      <c r="M258" s="125" t="e">
        <f>SUM(M259:M261)</f>
        <v>#REF!</v>
      </c>
    </row>
    <row r="259" spans="2:14" s="23" customFormat="1" ht="18">
      <c r="B259" s="74">
        <v>5</v>
      </c>
      <c r="C259" s="69">
        <v>3</v>
      </c>
      <c r="D259" s="70">
        <v>1</v>
      </c>
      <c r="E259" s="153" t="s">
        <v>542</v>
      </c>
      <c r="F259" s="72" t="s">
        <v>373</v>
      </c>
      <c r="G259" s="73">
        <v>50</v>
      </c>
      <c r="H259" s="121" t="e">
        <f>'1 - Direct_DK_BoQ'!#REF!*'0 - Summary'!$H$19</f>
        <v>#REF!</v>
      </c>
      <c r="I259" s="121" t="e">
        <f>'1 - Direct_DK_BoQ'!#REF!*'0 - Summary'!$G$15</f>
        <v>#REF!</v>
      </c>
      <c r="J259" s="157" t="e">
        <f>(H259+I259)*G259</f>
        <v>#REF!</v>
      </c>
      <c r="K259" s="128" t="e">
        <f>H259*G259</f>
        <v>#REF!</v>
      </c>
      <c r="L259" s="128" t="e">
        <f>I259*G259</f>
        <v>#REF!</v>
      </c>
      <c r="M259" s="127" t="e">
        <f>SUM(K259:L259)</f>
        <v>#REF!</v>
      </c>
    </row>
    <row r="260" spans="2:14" s="23" customFormat="1" ht="18">
      <c r="B260" s="74">
        <v>5</v>
      </c>
      <c r="C260" s="69">
        <v>3</v>
      </c>
      <c r="D260" s="70">
        <v>2</v>
      </c>
      <c r="E260" s="153" t="s">
        <v>537</v>
      </c>
      <c r="F260" s="72" t="s">
        <v>373</v>
      </c>
      <c r="G260" s="73">
        <v>50</v>
      </c>
      <c r="H260" s="121" t="e">
        <f>'1 - Direct_DK_BoQ'!#REF!*'0 - Summary'!$H$19</f>
        <v>#REF!</v>
      </c>
      <c r="I260" s="121" t="e">
        <f>'1 - Direct_DK_BoQ'!#REF!*'0 - Summary'!$G$15</f>
        <v>#REF!</v>
      </c>
      <c r="J260" s="157" t="e">
        <f>(H260+I260)*G260</f>
        <v>#REF!</v>
      </c>
      <c r="K260" s="128" t="e">
        <f>H260*G260</f>
        <v>#REF!</v>
      </c>
      <c r="L260" s="128" t="e">
        <f>I260*G260</f>
        <v>#REF!</v>
      </c>
      <c r="M260" s="127" t="e">
        <f>SUM(K260:L260)</f>
        <v>#REF!</v>
      </c>
    </row>
    <row r="261" spans="2:14" s="23" customFormat="1" ht="18">
      <c r="B261" s="74">
        <v>5</v>
      </c>
      <c r="C261" s="69">
        <v>3</v>
      </c>
      <c r="D261" s="70">
        <v>3</v>
      </c>
      <c r="E261" s="153" t="s">
        <v>538</v>
      </c>
      <c r="F261" s="72" t="s">
        <v>373</v>
      </c>
      <c r="G261" s="73">
        <v>50</v>
      </c>
      <c r="H261" s="121" t="e">
        <f>'1 - Direct_DK_BoQ'!#REF!*'0 - Summary'!$H$19</f>
        <v>#REF!</v>
      </c>
      <c r="I261" s="121" t="e">
        <f>'1 - Direct_DK_BoQ'!#REF!*'0 - Summary'!$G$15</f>
        <v>#REF!</v>
      </c>
      <c r="J261" s="157" t="e">
        <f>(H261+I261)*G261</f>
        <v>#REF!</v>
      </c>
      <c r="K261" s="128" t="e">
        <f>H261*G261</f>
        <v>#REF!</v>
      </c>
      <c r="L261" s="128" t="e">
        <f>I261*G261</f>
        <v>#REF!</v>
      </c>
      <c r="M261" s="127" t="e">
        <f>SUM(K261:L261)</f>
        <v>#REF!</v>
      </c>
    </row>
    <row r="262" spans="2:14" s="23" customFormat="1" ht="17.399999999999999">
      <c r="B262" s="92">
        <v>6</v>
      </c>
      <c r="C262" s="93">
        <v>0</v>
      </c>
      <c r="D262" s="93">
        <v>0</v>
      </c>
      <c r="E262" s="114" t="s">
        <v>543</v>
      </c>
      <c r="F262" s="89"/>
      <c r="G262" s="115"/>
      <c r="H262" s="124"/>
      <c r="I262" s="124"/>
      <c r="J262" s="196" t="e">
        <f>SUM(J263:J268)</f>
        <v>#REF!</v>
      </c>
      <c r="K262" s="196" t="e">
        <f>SUM(K263:K268)</f>
        <v>#REF!</v>
      </c>
      <c r="L262" s="196" t="e">
        <f>SUM(L263:L268)</f>
        <v>#REF!</v>
      </c>
      <c r="M262" s="196" t="e">
        <f>SUM(M263:M268)</f>
        <v>#REF!</v>
      </c>
      <c r="N262" s="195"/>
    </row>
    <row r="263" spans="2:14" s="23" customFormat="1" ht="18">
      <c r="B263" s="74">
        <v>6</v>
      </c>
      <c r="C263" s="69">
        <v>1</v>
      </c>
      <c r="D263" s="70">
        <v>1</v>
      </c>
      <c r="E263" s="153" t="s">
        <v>544</v>
      </c>
      <c r="F263" s="72" t="s">
        <v>373</v>
      </c>
      <c r="G263" s="73">
        <v>81</v>
      </c>
      <c r="H263" s="121" t="e">
        <f>'1 - Direct_DK_BoQ'!#REF!*'0 - Summary'!$H$19</f>
        <v>#REF!</v>
      </c>
      <c r="I263" s="121" t="e">
        <f>'1 - Direct_DK_BoQ'!#REF!*'0 - Summary'!$G$15</f>
        <v>#REF!</v>
      </c>
      <c r="J263" s="157" t="e">
        <f t="shared" ref="J263:J268" si="20">(H263+I263)*G263</f>
        <v>#REF!</v>
      </c>
      <c r="K263" s="128" t="e">
        <f t="shared" ref="K263:K268" si="21">H263*G263</f>
        <v>#REF!</v>
      </c>
      <c r="L263" s="128" t="e">
        <f t="shared" ref="L263:L268" si="22">I263*G263</f>
        <v>#REF!</v>
      </c>
      <c r="M263" s="127" t="e">
        <f t="shared" ref="M263:M268" si="23">SUM(K263:L263)</f>
        <v>#REF!</v>
      </c>
    </row>
    <row r="264" spans="2:14" s="23" customFormat="1" ht="18">
      <c r="B264" s="74">
        <v>6</v>
      </c>
      <c r="C264" s="69">
        <v>1</v>
      </c>
      <c r="D264" s="70">
        <v>2</v>
      </c>
      <c r="E264" s="153" t="s">
        <v>545</v>
      </c>
      <c r="F264" s="72" t="s">
        <v>373</v>
      </c>
      <c r="G264" s="73">
        <v>81</v>
      </c>
      <c r="H264" s="121" t="e">
        <f>'1 - Direct_DK_BoQ'!#REF!*'0 - Summary'!$H$19</f>
        <v>#REF!</v>
      </c>
      <c r="I264" s="121" t="e">
        <f>'1 - Direct_DK_BoQ'!#REF!*'0 - Summary'!$G$15</f>
        <v>#REF!</v>
      </c>
      <c r="J264" s="157" t="e">
        <f t="shared" si="20"/>
        <v>#REF!</v>
      </c>
      <c r="K264" s="128" t="e">
        <f t="shared" si="21"/>
        <v>#REF!</v>
      </c>
      <c r="L264" s="128" t="e">
        <f t="shared" si="22"/>
        <v>#REF!</v>
      </c>
      <c r="M264" s="127" t="e">
        <f t="shared" si="23"/>
        <v>#REF!</v>
      </c>
    </row>
    <row r="265" spans="2:14" s="23" customFormat="1" ht="18">
      <c r="B265" s="74">
        <v>6</v>
      </c>
      <c r="C265" s="69">
        <v>1</v>
      </c>
      <c r="D265" s="70">
        <v>3</v>
      </c>
      <c r="E265" s="153" t="s">
        <v>416</v>
      </c>
      <c r="F265" s="72" t="s">
        <v>373</v>
      </c>
      <c r="G265" s="73">
        <v>81</v>
      </c>
      <c r="H265" s="121" t="e">
        <f>'1 - Direct_DK_BoQ'!#REF!*'0 - Summary'!$H$19</f>
        <v>#REF!</v>
      </c>
      <c r="I265" s="121" t="e">
        <f>'1 - Direct_DK_BoQ'!#REF!*'0 - Summary'!$G$15</f>
        <v>#REF!</v>
      </c>
      <c r="J265" s="157" t="e">
        <f t="shared" si="20"/>
        <v>#REF!</v>
      </c>
      <c r="K265" s="128" t="e">
        <f t="shared" si="21"/>
        <v>#REF!</v>
      </c>
      <c r="L265" s="128" t="e">
        <f t="shared" si="22"/>
        <v>#REF!</v>
      </c>
      <c r="M265" s="127" t="e">
        <f t="shared" si="23"/>
        <v>#REF!</v>
      </c>
    </row>
    <row r="266" spans="2:14" ht="18">
      <c r="B266" s="74">
        <v>6</v>
      </c>
      <c r="C266" s="69">
        <v>1</v>
      </c>
      <c r="D266" s="70">
        <v>4</v>
      </c>
      <c r="E266" s="153" t="s">
        <v>546</v>
      </c>
      <c r="F266" s="72" t="s">
        <v>373</v>
      </c>
      <c r="G266" s="73">
        <v>81</v>
      </c>
      <c r="H266" s="121" t="e">
        <f>'1 - Direct_DK_BoQ'!#REF!*'0 - Summary'!$H$19</f>
        <v>#REF!</v>
      </c>
      <c r="I266" s="121" t="e">
        <f>'1 - Direct_DK_BoQ'!#REF!*'0 - Summary'!$G$15</f>
        <v>#REF!</v>
      </c>
      <c r="J266" s="157" t="e">
        <f t="shared" si="20"/>
        <v>#REF!</v>
      </c>
      <c r="K266" s="128" t="e">
        <f t="shared" si="21"/>
        <v>#REF!</v>
      </c>
      <c r="L266" s="128" t="e">
        <f t="shared" si="22"/>
        <v>#REF!</v>
      </c>
      <c r="M266" s="127" t="e">
        <f t="shared" si="23"/>
        <v>#REF!</v>
      </c>
    </row>
    <row r="267" spans="2:14" s="23" customFormat="1" ht="18">
      <c r="B267" s="74">
        <v>6</v>
      </c>
      <c r="C267" s="69">
        <v>1</v>
      </c>
      <c r="D267" s="70">
        <v>5</v>
      </c>
      <c r="E267" s="153" t="s">
        <v>547</v>
      </c>
      <c r="F267" s="72" t="s">
        <v>373</v>
      </c>
      <c r="G267" s="73">
        <v>81</v>
      </c>
      <c r="H267" s="121" t="e">
        <f>'1 - Direct_DK_BoQ'!#REF!*'0 - Summary'!$H$19</f>
        <v>#REF!</v>
      </c>
      <c r="I267" s="121" t="e">
        <f>'1 - Direct_DK_BoQ'!#REF!*'0 - Summary'!$G$15</f>
        <v>#REF!</v>
      </c>
      <c r="J267" s="157" t="e">
        <f t="shared" si="20"/>
        <v>#REF!</v>
      </c>
      <c r="K267" s="128" t="e">
        <f t="shared" si="21"/>
        <v>#REF!</v>
      </c>
      <c r="L267" s="128" t="e">
        <f t="shared" si="22"/>
        <v>#REF!</v>
      </c>
      <c r="M267" s="127" t="e">
        <f t="shared" si="23"/>
        <v>#REF!</v>
      </c>
    </row>
    <row r="268" spans="2:14" s="23" customFormat="1" ht="18">
      <c r="B268" s="74">
        <v>6</v>
      </c>
      <c r="C268" s="69">
        <v>1</v>
      </c>
      <c r="D268" s="70">
        <v>6</v>
      </c>
      <c r="E268" s="153" t="s">
        <v>548</v>
      </c>
      <c r="F268" s="72" t="s">
        <v>373</v>
      </c>
      <c r="G268" s="73">
        <v>81</v>
      </c>
      <c r="H268" s="121" t="e">
        <f>'1 - Direct_DK_BoQ'!#REF!*'0 - Summary'!$H$19</f>
        <v>#REF!</v>
      </c>
      <c r="I268" s="121" t="e">
        <f>'1 - Direct_DK_BoQ'!#REF!*'0 - Summary'!$G$15</f>
        <v>#REF!</v>
      </c>
      <c r="J268" s="157" t="e">
        <f t="shared" si="20"/>
        <v>#REF!</v>
      </c>
      <c r="K268" s="128" t="e">
        <f t="shared" si="21"/>
        <v>#REF!</v>
      </c>
      <c r="L268" s="128" t="e">
        <f t="shared" si="22"/>
        <v>#REF!</v>
      </c>
      <c r="M268" s="127" t="e">
        <f t="shared" si="23"/>
        <v>#REF!</v>
      </c>
    </row>
    <row r="269" spans="2:14" s="23" customFormat="1" ht="17.399999999999999">
      <c r="B269" s="92">
        <v>7</v>
      </c>
      <c r="C269" s="93">
        <v>0</v>
      </c>
      <c r="D269" s="93">
        <v>0</v>
      </c>
      <c r="E269" s="114" t="s">
        <v>549</v>
      </c>
      <c r="F269" s="89"/>
      <c r="G269" s="115"/>
      <c r="H269" s="124"/>
      <c r="I269" s="124"/>
      <c r="J269" s="196" t="e">
        <f>SUM(J270)</f>
        <v>#REF!</v>
      </c>
      <c r="K269" s="196" t="e">
        <f>SUM(K270)</f>
        <v>#REF!</v>
      </c>
      <c r="L269" s="196" t="e">
        <f>SUM(L270)</f>
        <v>#REF!</v>
      </c>
      <c r="M269" s="123" t="e">
        <f>SUM(M270)</f>
        <v>#REF!</v>
      </c>
    </row>
    <row r="270" spans="2:14" s="23" customFormat="1" ht="72">
      <c r="B270" s="74">
        <v>7</v>
      </c>
      <c r="C270" s="69">
        <v>1</v>
      </c>
      <c r="D270" s="70">
        <v>1</v>
      </c>
      <c r="E270" s="153" t="s">
        <v>550</v>
      </c>
      <c r="F270" s="72" t="s">
        <v>482</v>
      </c>
      <c r="G270" s="73">
        <v>45</v>
      </c>
      <c r="H270" s="121" t="e">
        <f>'1 - Direct_DK_BoQ'!#REF!*'0 - Summary'!$H$19</f>
        <v>#REF!</v>
      </c>
      <c r="I270" s="121" t="e">
        <f>'1 - Direct_DK_BoQ'!#REF!*'0 - Summary'!$G$15</f>
        <v>#REF!</v>
      </c>
      <c r="J270" s="157" t="e">
        <f>(H270+I270)*G270</f>
        <v>#REF!</v>
      </c>
      <c r="K270" s="128" t="e">
        <f>H270*G270</f>
        <v>#REF!</v>
      </c>
      <c r="L270" s="128" t="e">
        <f>I270*G270</f>
        <v>#REF!</v>
      </c>
      <c r="M270" s="127" t="e">
        <f>SUM(K270:L270)</f>
        <v>#REF!</v>
      </c>
    </row>
    <row r="271" spans="2:14" s="23" customFormat="1" ht="17.399999999999999">
      <c r="B271" s="92">
        <v>8</v>
      </c>
      <c r="C271" s="93">
        <v>0</v>
      </c>
      <c r="D271" s="93">
        <v>0</v>
      </c>
      <c r="E271" s="114" t="s">
        <v>551</v>
      </c>
      <c r="F271" s="89"/>
      <c r="G271" s="115"/>
      <c r="H271" s="124"/>
      <c r="I271" s="124"/>
      <c r="J271" s="196" t="e">
        <f>SUM(J272)</f>
        <v>#REF!</v>
      </c>
      <c r="K271" s="196" t="e">
        <f>SUM(K272)</f>
        <v>#REF!</v>
      </c>
      <c r="L271" s="196" t="e">
        <f>SUM(L272)</f>
        <v>#REF!</v>
      </c>
      <c r="M271" s="123" t="e">
        <f>SUM(M272)</f>
        <v>#REF!</v>
      </c>
    </row>
    <row r="272" spans="2:14" s="23" customFormat="1" ht="72">
      <c r="B272" s="74">
        <v>8</v>
      </c>
      <c r="C272" s="69">
        <v>1</v>
      </c>
      <c r="D272" s="70">
        <v>1</v>
      </c>
      <c r="E272" s="153" t="s">
        <v>552</v>
      </c>
      <c r="F272" s="72" t="s">
        <v>373</v>
      </c>
      <c r="G272" s="73">
        <v>25.5</v>
      </c>
      <c r="H272" s="121" t="e">
        <f>'1 - Direct_DK_BoQ'!#REF!*'0 - Summary'!$H$19</f>
        <v>#REF!</v>
      </c>
      <c r="I272" s="121" t="e">
        <f>'1 - Direct_DK_BoQ'!#REF!*'0 - Summary'!$G$15</f>
        <v>#REF!</v>
      </c>
      <c r="J272" s="157" t="e">
        <f>(H272+I272)*G272</f>
        <v>#REF!</v>
      </c>
      <c r="K272" s="128" t="e">
        <f>H272*G272</f>
        <v>#REF!</v>
      </c>
      <c r="L272" s="128" t="e">
        <f>I272*G272</f>
        <v>#REF!</v>
      </c>
      <c r="M272" s="127" t="e">
        <f>SUM(K272:L272)</f>
        <v>#REF!</v>
      </c>
    </row>
    <row r="273" spans="2:14" s="23" customFormat="1" ht="17.399999999999999">
      <c r="B273" s="92">
        <v>9</v>
      </c>
      <c r="C273" s="93">
        <v>0</v>
      </c>
      <c r="D273" s="93">
        <v>0</v>
      </c>
      <c r="E273" s="114" t="s">
        <v>553</v>
      </c>
      <c r="F273" s="89"/>
      <c r="G273" s="115"/>
      <c r="H273" s="124"/>
      <c r="I273" s="124"/>
      <c r="J273" s="196" t="e">
        <f>SUM(J274)</f>
        <v>#REF!</v>
      </c>
      <c r="K273" s="196" t="e">
        <f>SUM(K274)</f>
        <v>#REF!</v>
      </c>
      <c r="L273" s="196" t="e">
        <f>SUM(L274)</f>
        <v>#REF!</v>
      </c>
      <c r="M273" s="196" t="e">
        <f>SUM(M274)</f>
        <v>#REF!</v>
      </c>
      <c r="N273" s="195"/>
    </row>
    <row r="274" spans="2:14" s="23" customFormat="1" ht="18">
      <c r="B274" s="74">
        <v>9</v>
      </c>
      <c r="C274" s="69">
        <v>1</v>
      </c>
      <c r="D274" s="70">
        <v>1</v>
      </c>
      <c r="E274" s="153" t="s">
        <v>554</v>
      </c>
      <c r="F274" s="72" t="s">
        <v>270</v>
      </c>
      <c r="G274" s="73">
        <v>6</v>
      </c>
      <c r="H274" s="121" t="e">
        <f>'1 - Direct_DK_BoQ'!#REF!*'0 - Summary'!$H$19</f>
        <v>#REF!</v>
      </c>
      <c r="I274" s="121" t="e">
        <f>'1 - Direct_DK_BoQ'!#REF!*'0 - Summary'!$G$15</f>
        <v>#REF!</v>
      </c>
      <c r="J274" s="157" t="e">
        <f>(H274+I274)*G274</f>
        <v>#REF!</v>
      </c>
      <c r="K274" s="128" t="e">
        <f>H274*G274</f>
        <v>#REF!</v>
      </c>
      <c r="L274" s="128" t="e">
        <f>I274*G274</f>
        <v>#REF!</v>
      </c>
      <c r="M274" s="127" t="e">
        <f>SUM(K274:L274)</f>
        <v>#REF!</v>
      </c>
    </row>
    <row r="275" spans="2:14" s="23" customFormat="1" ht="17.399999999999999">
      <c r="B275" s="92">
        <v>10</v>
      </c>
      <c r="C275" s="93">
        <v>0</v>
      </c>
      <c r="D275" s="93">
        <v>0</v>
      </c>
      <c r="E275" s="114" t="s">
        <v>555</v>
      </c>
      <c r="F275" s="89"/>
      <c r="G275" s="115"/>
      <c r="H275" s="124"/>
      <c r="I275" s="124"/>
      <c r="J275" s="196" t="e">
        <f>SUM(J276:J277)</f>
        <v>#REF!</v>
      </c>
      <c r="K275" s="196" t="e">
        <f>SUM(K276:K277)</f>
        <v>#REF!</v>
      </c>
      <c r="L275" s="196" t="e">
        <f>SUM(L276:L277)</f>
        <v>#REF!</v>
      </c>
      <c r="M275" s="123" t="e">
        <f>SUM(M276:M277)</f>
        <v>#REF!</v>
      </c>
    </row>
    <row r="276" spans="2:14" s="23" customFormat="1" ht="54">
      <c r="B276" s="74">
        <v>10</v>
      </c>
      <c r="C276" s="69">
        <v>1</v>
      </c>
      <c r="D276" s="70">
        <v>1</v>
      </c>
      <c r="E276" s="153" t="s">
        <v>556</v>
      </c>
      <c r="F276" s="72" t="s">
        <v>270</v>
      </c>
      <c r="G276" s="73">
        <v>4</v>
      </c>
      <c r="H276" s="121" t="e">
        <f>'1 - Direct_DK_BoQ'!#REF!*'0 - Summary'!$H$19</f>
        <v>#REF!</v>
      </c>
      <c r="I276" s="121" t="e">
        <f>'1 - Direct_DK_BoQ'!#REF!*'0 - Summary'!$G$15</f>
        <v>#REF!</v>
      </c>
      <c r="J276" s="157" t="e">
        <f>(H276+I276)*G276</f>
        <v>#REF!</v>
      </c>
      <c r="K276" s="128" t="e">
        <f>H276*G276</f>
        <v>#REF!</v>
      </c>
      <c r="L276" s="128" t="e">
        <f>I276*G276</f>
        <v>#REF!</v>
      </c>
      <c r="M276" s="127" t="e">
        <f>SUM(K276:L276)</f>
        <v>#REF!</v>
      </c>
    </row>
    <row r="277" spans="2:14" s="23" customFormat="1" ht="36">
      <c r="B277" s="74">
        <v>10</v>
      </c>
      <c r="C277" s="69">
        <v>1</v>
      </c>
      <c r="D277" s="70">
        <v>2</v>
      </c>
      <c r="E277" s="153" t="s">
        <v>557</v>
      </c>
      <c r="F277" s="72" t="s">
        <v>270</v>
      </c>
      <c r="G277" s="73">
        <v>2</v>
      </c>
      <c r="H277" s="121" t="e">
        <f>'1 - Direct_DK_BoQ'!#REF!*'0 - Summary'!$H$19</f>
        <v>#REF!</v>
      </c>
      <c r="I277" s="121" t="e">
        <f>'1 - Direct_DK_BoQ'!#REF!*'0 - Summary'!$G$15</f>
        <v>#REF!</v>
      </c>
      <c r="J277" s="157" t="e">
        <f>(H277+I277)*G277</f>
        <v>#REF!</v>
      </c>
      <c r="K277" s="128" t="e">
        <f>H277*G277</f>
        <v>#REF!</v>
      </c>
      <c r="L277" s="128" t="e">
        <f>I277*G277</f>
        <v>#REF!</v>
      </c>
      <c r="M277" s="127" t="e">
        <f>SUM(K277:L277)</f>
        <v>#REF!</v>
      </c>
    </row>
    <row r="278" spans="2:14" s="23" customFormat="1" ht="17.399999999999999">
      <c r="B278" s="92">
        <v>11</v>
      </c>
      <c r="C278" s="93">
        <v>0</v>
      </c>
      <c r="D278" s="93">
        <v>0</v>
      </c>
      <c r="E278" s="114" t="s">
        <v>558</v>
      </c>
      <c r="F278" s="89"/>
      <c r="G278" s="115"/>
      <c r="H278" s="124"/>
      <c r="I278" s="124"/>
      <c r="J278" s="196" t="e">
        <f>SUM(J279:J282)</f>
        <v>#REF!</v>
      </c>
      <c r="K278" s="196" t="e">
        <f>SUM(K279:K282)</f>
        <v>#REF!</v>
      </c>
      <c r="L278" s="196" t="e">
        <f>SUM(L279:L282)</f>
        <v>#REF!</v>
      </c>
      <c r="M278" s="123" t="e">
        <f>SUM(M279:M282)</f>
        <v>#REF!</v>
      </c>
    </row>
    <row r="279" spans="2:14" s="23" customFormat="1" ht="18">
      <c r="B279" s="74">
        <v>11</v>
      </c>
      <c r="C279" s="69">
        <v>1</v>
      </c>
      <c r="D279" s="70">
        <v>1</v>
      </c>
      <c r="E279" s="153" t="s">
        <v>559</v>
      </c>
      <c r="F279" s="72" t="s">
        <v>270</v>
      </c>
      <c r="G279" s="73">
        <v>1</v>
      </c>
      <c r="H279" s="121" t="e">
        <f>'1 - Direct_DK_BoQ'!#REF!*'0 - Summary'!$H$19</f>
        <v>#REF!</v>
      </c>
      <c r="I279" s="121" t="e">
        <f>'1 - Direct_DK_BoQ'!#REF!*'0 - Summary'!$G$15</f>
        <v>#REF!</v>
      </c>
      <c r="J279" s="157" t="e">
        <f>(H279+I279)*G279</f>
        <v>#REF!</v>
      </c>
      <c r="K279" s="128" t="e">
        <f>H279*G279</f>
        <v>#REF!</v>
      </c>
      <c r="L279" s="128" t="e">
        <f>I279*G279</f>
        <v>#REF!</v>
      </c>
      <c r="M279" s="127" t="e">
        <f>SUM(K279:L279)</f>
        <v>#REF!</v>
      </c>
    </row>
    <row r="280" spans="2:14" s="23" customFormat="1" ht="18">
      <c r="B280" s="74">
        <v>11</v>
      </c>
      <c r="C280" s="69">
        <v>1</v>
      </c>
      <c r="D280" s="70">
        <v>2</v>
      </c>
      <c r="E280" s="153" t="s">
        <v>560</v>
      </c>
      <c r="F280" s="72" t="s">
        <v>270</v>
      </c>
      <c r="G280" s="73">
        <v>1</v>
      </c>
      <c r="H280" s="121" t="e">
        <f>'1 - Direct_DK_BoQ'!#REF!*'0 - Summary'!$H$19</f>
        <v>#REF!</v>
      </c>
      <c r="I280" s="121" t="e">
        <f>'1 - Direct_DK_BoQ'!#REF!*'0 - Summary'!$G$15</f>
        <v>#REF!</v>
      </c>
      <c r="J280" s="157" t="e">
        <f>(H280+I280)*G280</f>
        <v>#REF!</v>
      </c>
      <c r="K280" s="128" t="e">
        <f>H280*G280</f>
        <v>#REF!</v>
      </c>
      <c r="L280" s="128" t="e">
        <f>I280*G280</f>
        <v>#REF!</v>
      </c>
      <c r="M280" s="127" t="e">
        <f>SUM(K280:L280)</f>
        <v>#REF!</v>
      </c>
    </row>
    <row r="281" spans="2:14" s="23" customFormat="1" ht="36">
      <c r="B281" s="74">
        <v>11</v>
      </c>
      <c r="C281" s="69">
        <v>1</v>
      </c>
      <c r="D281" s="70">
        <v>3</v>
      </c>
      <c r="E281" s="153" t="s">
        <v>561</v>
      </c>
      <c r="F281" s="72" t="s">
        <v>270</v>
      </c>
      <c r="G281" s="73">
        <v>4</v>
      </c>
      <c r="H281" s="121" t="e">
        <f>'1 - Direct_DK_BoQ'!#REF!*'0 - Summary'!$H$19</f>
        <v>#REF!</v>
      </c>
      <c r="I281" s="121" t="e">
        <f>'1 - Direct_DK_BoQ'!#REF!*'0 - Summary'!$G$15</f>
        <v>#REF!</v>
      </c>
      <c r="J281" s="157" t="e">
        <f>(H281+I281)*G281</f>
        <v>#REF!</v>
      </c>
      <c r="K281" s="128" t="e">
        <f>H281*G281</f>
        <v>#REF!</v>
      </c>
      <c r="L281" s="128" t="e">
        <f>I281*G281</f>
        <v>#REF!</v>
      </c>
      <c r="M281" s="127" t="e">
        <f>SUM(K281:L281)</f>
        <v>#REF!</v>
      </c>
    </row>
    <row r="282" spans="2:14" ht="36">
      <c r="B282" s="74">
        <v>11</v>
      </c>
      <c r="C282" s="69">
        <v>1</v>
      </c>
      <c r="D282" s="70">
        <v>4</v>
      </c>
      <c r="E282" s="153" t="s">
        <v>562</v>
      </c>
      <c r="F282" s="72" t="s">
        <v>270</v>
      </c>
      <c r="G282" s="73">
        <v>1</v>
      </c>
      <c r="H282" s="121" t="e">
        <f>'1 - Direct_DK_BoQ'!#REF!*'0 - Summary'!$H$19</f>
        <v>#REF!</v>
      </c>
      <c r="I282" s="121" t="e">
        <f>'1 - Direct_DK_BoQ'!#REF!*'0 - Summary'!$G$15</f>
        <v>#REF!</v>
      </c>
      <c r="J282" s="157" t="e">
        <f>(H282+I282)*G282</f>
        <v>#REF!</v>
      </c>
      <c r="K282" s="128" t="e">
        <f>H282*G282</f>
        <v>#REF!</v>
      </c>
      <c r="L282" s="128" t="e">
        <f>I282*G282</f>
        <v>#REF!</v>
      </c>
      <c r="M282" s="127" t="e">
        <f>SUM(K282:L282)</f>
        <v>#REF!</v>
      </c>
    </row>
    <row r="283" spans="2:14" s="23" customFormat="1" ht="17.399999999999999">
      <c r="B283" s="92">
        <v>12</v>
      </c>
      <c r="C283" s="93">
        <v>0</v>
      </c>
      <c r="D283" s="93">
        <v>0</v>
      </c>
      <c r="E283" s="114" t="s">
        <v>563</v>
      </c>
      <c r="F283" s="89"/>
      <c r="G283" s="115"/>
      <c r="H283" s="124"/>
      <c r="I283" s="124"/>
      <c r="J283" s="196" t="e">
        <f>SUM(J284:J285)</f>
        <v>#REF!</v>
      </c>
      <c r="K283" s="196" t="e">
        <f>SUM(K284:K285)</f>
        <v>#REF!</v>
      </c>
      <c r="L283" s="196" t="e">
        <f>SUM(L284:L285)</f>
        <v>#REF!</v>
      </c>
      <c r="M283" s="196" t="e">
        <f>SUM(M284:M285)</f>
        <v>#REF!</v>
      </c>
      <c r="N283" s="195"/>
    </row>
    <row r="284" spans="2:14" s="23" customFormat="1" ht="18">
      <c r="B284" s="74">
        <v>12</v>
      </c>
      <c r="C284" s="69">
        <v>1</v>
      </c>
      <c r="D284" s="70">
        <v>1</v>
      </c>
      <c r="E284" s="153" t="s">
        <v>564</v>
      </c>
      <c r="F284" s="72" t="s">
        <v>270</v>
      </c>
      <c r="G284" s="73">
        <v>4</v>
      </c>
      <c r="H284" s="121" t="e">
        <f>'1 - Direct_DK_BoQ'!#REF!*'0 - Summary'!$H$19</f>
        <v>#REF!</v>
      </c>
      <c r="I284" s="121" t="e">
        <f>'1 - Direct_DK_BoQ'!#REF!*'0 - Summary'!$G$15</f>
        <v>#REF!</v>
      </c>
      <c r="J284" s="157" t="e">
        <f>(H284+I284)*G284</f>
        <v>#REF!</v>
      </c>
      <c r="K284" s="128" t="e">
        <f>H284*G284</f>
        <v>#REF!</v>
      </c>
      <c r="L284" s="128" t="e">
        <f>I284*G284</f>
        <v>#REF!</v>
      </c>
      <c r="M284" s="127" t="e">
        <f>SUM(K284:L284)</f>
        <v>#REF!</v>
      </c>
    </row>
    <row r="285" spans="2:14" s="23" customFormat="1" ht="18.600000000000001" thickBot="1">
      <c r="B285" s="96">
        <v>12</v>
      </c>
      <c r="C285" s="97">
        <v>1</v>
      </c>
      <c r="D285" s="98">
        <v>2</v>
      </c>
      <c r="E285" s="216" t="s">
        <v>564</v>
      </c>
      <c r="F285" s="99" t="s">
        <v>270</v>
      </c>
      <c r="G285" s="100">
        <v>2</v>
      </c>
      <c r="H285" s="198" t="e">
        <f>'1 - Direct_DK_BoQ'!#REF!*'0 - Summary'!$H$19</f>
        <v>#REF!</v>
      </c>
      <c r="I285" s="198" t="e">
        <f>'1 - Direct_DK_BoQ'!#REF!*'0 - Summary'!$G$15</f>
        <v>#REF!</v>
      </c>
      <c r="J285" s="199" t="e">
        <f>(H285+I285)*G285</f>
        <v>#REF!</v>
      </c>
      <c r="K285" s="200" t="e">
        <f>H285*G285</f>
        <v>#REF!</v>
      </c>
      <c r="L285" s="200" t="e">
        <f>I285*G285</f>
        <v>#REF!</v>
      </c>
      <c r="M285" s="201" t="e">
        <f>SUM(K285:L285)</f>
        <v>#REF!</v>
      </c>
    </row>
    <row r="286" spans="2:14" ht="15" thickTop="1"/>
  </sheetData>
  <mergeCells count="13">
    <mergeCell ref="B183:D183"/>
    <mergeCell ref="B8:D8"/>
    <mergeCell ref="B10:D10"/>
    <mergeCell ref="K5:M5"/>
    <mergeCell ref="K7:M7"/>
    <mergeCell ref="B9:D9"/>
    <mergeCell ref="B4:J4"/>
    <mergeCell ref="B5:D7"/>
    <mergeCell ref="E5:E7"/>
    <mergeCell ref="F5:F7"/>
    <mergeCell ref="G5:G7"/>
    <mergeCell ref="H5:J5"/>
    <mergeCell ref="H7:J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F7AFD-9054-4805-BADE-315408FDAF46}">
  <sheetPr>
    <tabColor rgb="FF00B050"/>
    <pageSetUpPr fitToPage="1"/>
  </sheetPr>
  <dimension ref="A1:L29"/>
  <sheetViews>
    <sheetView showGridLines="0" view="pageBreakPreview" zoomScale="90" zoomScaleNormal="100" zoomScaleSheetLayoutView="102" workbookViewId="0">
      <pane ySplit="7" topLeftCell="A14" activePane="bottomLeft" state="frozen"/>
      <selection pane="bottomLeft" activeCell="B1" sqref="B1:L29"/>
    </sheetView>
  </sheetViews>
  <sheetFormatPr defaultColWidth="9.109375" defaultRowHeight="13.8"/>
  <cols>
    <col min="1" max="1" width="2" style="23" customWidth="1"/>
    <col min="2" max="4" width="4.44140625" style="24" customWidth="1"/>
    <col min="5" max="5" width="84" style="25" customWidth="1"/>
    <col min="6" max="6" width="12.33203125" style="28" customWidth="1"/>
    <col min="7" max="7" width="16.6640625" style="29" customWidth="1"/>
    <col min="8" max="8" width="40.88671875" style="29" bestFit="1" customWidth="1"/>
    <col min="9" max="9" width="18.33203125" style="29" customWidth="1"/>
    <col min="10" max="10" width="16" style="26" hidden="1" customWidth="1"/>
    <col min="11" max="11" width="16" style="26" customWidth="1"/>
    <col min="12" max="12" width="20.88671875" style="27" customWidth="1"/>
    <col min="13" max="13" width="2" style="23" customWidth="1"/>
    <col min="14" max="14" width="9.109375" style="23"/>
    <col min="15" max="15" width="46.77734375" style="23" customWidth="1"/>
    <col min="16" max="16384" width="9.109375" style="23"/>
  </cols>
  <sheetData>
    <row r="1" spans="1:12" ht="27" customHeight="1" thickBot="1">
      <c r="B1" s="275" t="s">
        <v>271</v>
      </c>
      <c r="C1" s="275"/>
      <c r="D1" s="275"/>
      <c r="E1" s="275"/>
      <c r="F1" s="275"/>
      <c r="G1" s="275"/>
      <c r="H1" s="275"/>
      <c r="I1" s="275"/>
      <c r="J1" s="275"/>
      <c r="K1" s="275"/>
      <c r="L1" s="275"/>
    </row>
    <row r="2" spans="1:12" ht="28.95" customHeight="1" thickTop="1">
      <c r="B2" s="276" t="s">
        <v>8</v>
      </c>
      <c r="C2" s="277"/>
      <c r="D2" s="277"/>
      <c r="E2" s="277" t="s">
        <v>1</v>
      </c>
      <c r="F2" s="280" t="s">
        <v>9</v>
      </c>
      <c r="G2" s="269" t="s">
        <v>0</v>
      </c>
      <c r="H2" s="282" t="s">
        <v>722</v>
      </c>
      <c r="I2" s="282" t="s">
        <v>566</v>
      </c>
      <c r="J2" s="271" t="s">
        <v>10</v>
      </c>
      <c r="K2" s="271"/>
      <c r="L2" s="272"/>
    </row>
    <row r="3" spans="1:12" ht="52.2" customHeight="1">
      <c r="A3" s="169"/>
      <c r="B3" s="278"/>
      <c r="C3" s="279"/>
      <c r="D3" s="279"/>
      <c r="E3" s="279"/>
      <c r="F3" s="281"/>
      <c r="G3" s="270"/>
      <c r="H3" s="283"/>
      <c r="I3" s="283"/>
      <c r="J3" s="94" t="s">
        <v>61</v>
      </c>
      <c r="K3" s="94" t="s">
        <v>62</v>
      </c>
      <c r="L3" s="95" t="s">
        <v>63</v>
      </c>
    </row>
    <row r="4" spans="1:12" ht="14.4" customHeight="1">
      <c r="A4" s="169"/>
      <c r="B4" s="278"/>
      <c r="C4" s="279"/>
      <c r="D4" s="279"/>
      <c r="E4" s="279"/>
      <c r="F4" s="281"/>
      <c r="G4" s="270"/>
      <c r="H4" s="284"/>
      <c r="I4" s="284"/>
      <c r="J4" s="273" t="s">
        <v>2</v>
      </c>
      <c r="K4" s="273"/>
      <c r="L4" s="274"/>
    </row>
    <row r="5" spans="1:12" ht="134.25" hidden="1" customHeight="1">
      <c r="A5" s="169"/>
      <c r="B5" s="265">
        <v>1</v>
      </c>
      <c r="C5" s="266"/>
      <c r="D5" s="266"/>
      <c r="E5" s="76" t="s">
        <v>93</v>
      </c>
      <c r="F5" s="77"/>
      <c r="G5" s="78"/>
      <c r="H5" s="78"/>
      <c r="I5" s="78"/>
      <c r="J5" s="79"/>
      <c r="K5" s="79"/>
      <c r="L5" s="80"/>
    </row>
    <row r="6" spans="1:12" ht="38.4" hidden="1" customHeight="1">
      <c r="A6" s="169"/>
      <c r="B6" s="285"/>
      <c r="C6" s="286"/>
      <c r="D6" s="286"/>
      <c r="E6" s="204" t="s">
        <v>481</v>
      </c>
      <c r="F6" s="205"/>
      <c r="G6" s="206"/>
      <c r="H6" s="206"/>
      <c r="I6" s="206"/>
      <c r="J6" s="207">
        <f>SUMPRODUCT(J11:J28,$G$11:$G$28)</f>
        <v>0</v>
      </c>
      <c r="K6" s="207">
        <f>SUMPRODUCT(K11:K28,$G$11:$G$28)</f>
        <v>152508.24</v>
      </c>
      <c r="L6" s="208" t="e">
        <f>L7+#REF!</f>
        <v>#REF!</v>
      </c>
    </row>
    <row r="7" spans="1:12" ht="38.4" hidden="1" customHeight="1">
      <c r="A7" s="169"/>
      <c r="B7" s="267"/>
      <c r="C7" s="268"/>
      <c r="D7" s="268"/>
      <c r="E7" s="66" t="s">
        <v>380</v>
      </c>
      <c r="F7" s="67"/>
      <c r="G7" s="68"/>
      <c r="H7" s="68"/>
      <c r="I7" s="68"/>
      <c r="J7" s="81"/>
      <c r="K7" s="81"/>
      <c r="L7" s="87" t="e">
        <f>#REF!+#REF!+#REF!+#REF!+#REF!</f>
        <v>#REF!</v>
      </c>
    </row>
    <row r="8" spans="1:12" ht="118.2" customHeight="1">
      <c r="A8" s="169"/>
      <c r="B8" s="265">
        <v>1</v>
      </c>
      <c r="C8" s="266"/>
      <c r="D8" s="266"/>
      <c r="E8" s="76" t="s">
        <v>93</v>
      </c>
      <c r="F8" s="77"/>
      <c r="G8" s="78"/>
      <c r="H8" s="78"/>
      <c r="I8" s="78"/>
      <c r="J8" s="79"/>
      <c r="K8" s="79"/>
      <c r="L8" s="80"/>
    </row>
    <row r="9" spans="1:12" ht="37.950000000000003" customHeight="1">
      <c r="A9" s="169"/>
      <c r="B9" s="267"/>
      <c r="C9" s="268"/>
      <c r="D9" s="268"/>
      <c r="E9" s="66" t="s">
        <v>724</v>
      </c>
      <c r="F9" s="67"/>
      <c r="G9" s="68"/>
      <c r="H9" s="68"/>
      <c r="I9" s="68"/>
      <c r="J9" s="81"/>
      <c r="K9" s="81"/>
      <c r="L9" s="87">
        <f>SUM(L10,L14,L16,L19,L21,L24,L27)</f>
        <v>178251.24</v>
      </c>
    </row>
    <row r="10" spans="1:12" ht="23.4" customHeight="1">
      <c r="B10" s="223">
        <v>1</v>
      </c>
      <c r="C10" s="224">
        <v>1</v>
      </c>
      <c r="D10" s="224">
        <v>0</v>
      </c>
      <c r="E10" s="228" t="s">
        <v>728</v>
      </c>
      <c r="F10" s="225"/>
      <c r="G10" s="226"/>
      <c r="H10" s="226"/>
      <c r="I10" s="226"/>
      <c r="J10" s="231"/>
      <c r="K10" s="231"/>
      <c r="L10" s="227">
        <f>SUM(L12:L14)</f>
        <v>34003.599999999999</v>
      </c>
    </row>
    <row r="11" spans="1:12" ht="45" customHeight="1">
      <c r="A11" s="169"/>
      <c r="B11" s="74">
        <v>1</v>
      </c>
      <c r="C11" s="69">
        <v>1</v>
      </c>
      <c r="D11" s="70">
        <v>1</v>
      </c>
      <c r="E11" s="236" t="s">
        <v>725</v>
      </c>
      <c r="F11" s="237" t="s">
        <v>373</v>
      </c>
      <c r="G11" s="237">
        <v>210.6</v>
      </c>
      <c r="H11" s="234" t="s">
        <v>723</v>
      </c>
      <c r="I11" s="203"/>
      <c r="J11" s="229"/>
      <c r="K11" s="229">
        <v>25</v>
      </c>
      <c r="L11" s="75">
        <f>(J11+K11)*G11</f>
        <v>5265</v>
      </c>
    </row>
    <row r="12" spans="1:12" ht="18.600000000000001" customHeight="1">
      <c r="A12" s="169"/>
      <c r="B12" s="74">
        <v>1</v>
      </c>
      <c r="C12" s="69">
        <v>1</v>
      </c>
      <c r="D12" s="70">
        <v>2</v>
      </c>
      <c r="E12" s="236" t="s">
        <v>726</v>
      </c>
      <c r="F12" s="237" t="s">
        <v>373</v>
      </c>
      <c r="G12" s="237">
        <v>210.6</v>
      </c>
      <c r="H12" s="234" t="s">
        <v>723</v>
      </c>
      <c r="I12" s="203"/>
      <c r="J12" s="229"/>
      <c r="K12" s="229">
        <v>10</v>
      </c>
      <c r="L12" s="75">
        <f t="shared" ref="L12:L13" si="0">(J12+K12)*G12</f>
        <v>2106</v>
      </c>
    </row>
    <row r="13" spans="1:12" ht="18.600000000000001" customHeight="1">
      <c r="A13" s="169"/>
      <c r="B13" s="74">
        <v>1</v>
      </c>
      <c r="C13" s="69">
        <v>1</v>
      </c>
      <c r="D13" s="70">
        <v>3</v>
      </c>
      <c r="E13" s="238" t="s">
        <v>727</v>
      </c>
      <c r="F13" s="237" t="s">
        <v>721</v>
      </c>
      <c r="G13" s="237">
        <v>111.2</v>
      </c>
      <c r="H13" s="234" t="s">
        <v>723</v>
      </c>
      <c r="I13" s="203"/>
      <c r="J13" s="229"/>
      <c r="K13" s="229">
        <v>8</v>
      </c>
      <c r="L13" s="75">
        <f t="shared" si="0"/>
        <v>889.6</v>
      </c>
    </row>
    <row r="14" spans="1:12" ht="23.4" customHeight="1">
      <c r="B14" s="223">
        <v>1</v>
      </c>
      <c r="C14" s="224">
        <v>2</v>
      </c>
      <c r="D14" s="224">
        <v>0</v>
      </c>
      <c r="E14" s="228" t="s">
        <v>729</v>
      </c>
      <c r="F14" s="225"/>
      <c r="G14" s="226"/>
      <c r="H14" s="226"/>
      <c r="I14" s="226"/>
      <c r="J14" s="231"/>
      <c r="K14" s="231"/>
      <c r="L14" s="227">
        <f>SUM(L15:L15)</f>
        <v>31008</v>
      </c>
    </row>
    <row r="15" spans="1:12" ht="27.6">
      <c r="A15" s="169"/>
      <c r="B15" s="74">
        <v>1</v>
      </c>
      <c r="C15" s="69">
        <v>2</v>
      </c>
      <c r="D15" s="239">
        <v>1</v>
      </c>
      <c r="E15" s="236" t="s">
        <v>730</v>
      </c>
      <c r="F15" s="237" t="s">
        <v>373</v>
      </c>
      <c r="G15" s="237">
        <v>3876</v>
      </c>
      <c r="H15" s="234" t="s">
        <v>723</v>
      </c>
      <c r="I15" s="203"/>
      <c r="J15" s="229"/>
      <c r="K15" s="229">
        <v>8</v>
      </c>
      <c r="L15" s="75">
        <f>(J15+K15)*G15</f>
        <v>31008</v>
      </c>
    </row>
    <row r="16" spans="1:12" ht="23.4" customHeight="1">
      <c r="B16" s="223">
        <v>1</v>
      </c>
      <c r="C16" s="224">
        <v>3</v>
      </c>
      <c r="D16" s="224">
        <v>0</v>
      </c>
      <c r="E16" s="228" t="s">
        <v>731</v>
      </c>
      <c r="F16" s="225"/>
      <c r="G16" s="226"/>
      <c r="H16" s="226"/>
      <c r="I16" s="226"/>
      <c r="J16" s="231"/>
      <c r="K16" s="231"/>
      <c r="L16" s="227">
        <f>SUM(L17:L18)</f>
        <v>1341.8</v>
      </c>
    </row>
    <row r="17" spans="1:12" ht="18">
      <c r="A17" s="169"/>
      <c r="B17" s="74">
        <v>1</v>
      </c>
      <c r="C17" s="69">
        <v>3</v>
      </c>
      <c r="D17" s="239">
        <v>1</v>
      </c>
      <c r="E17" s="236" t="s">
        <v>733</v>
      </c>
      <c r="F17" s="237" t="s">
        <v>373</v>
      </c>
      <c r="G17" s="237">
        <v>37</v>
      </c>
      <c r="H17" s="234" t="s">
        <v>723</v>
      </c>
      <c r="I17" s="203"/>
      <c r="J17" s="229"/>
      <c r="K17" s="229">
        <v>25</v>
      </c>
      <c r="L17" s="75">
        <f>(J17+K17)*G17</f>
        <v>925</v>
      </c>
    </row>
    <row r="18" spans="1:12" ht="18">
      <c r="A18" s="169"/>
      <c r="B18" s="74">
        <v>1</v>
      </c>
      <c r="C18" s="69">
        <v>3</v>
      </c>
      <c r="D18" s="239">
        <v>2</v>
      </c>
      <c r="E18" s="238" t="s">
        <v>732</v>
      </c>
      <c r="F18" s="237" t="s">
        <v>721</v>
      </c>
      <c r="G18" s="237">
        <v>52.1</v>
      </c>
      <c r="H18" s="234" t="s">
        <v>723</v>
      </c>
      <c r="I18" s="73"/>
      <c r="J18" s="229"/>
      <c r="K18" s="229">
        <v>8</v>
      </c>
      <c r="L18" s="75">
        <f>(J18+K18)*G18</f>
        <v>416.8</v>
      </c>
    </row>
    <row r="19" spans="1:12" ht="23.4" customHeight="1">
      <c r="B19" s="223">
        <v>1</v>
      </c>
      <c r="C19" s="224">
        <v>4</v>
      </c>
      <c r="D19" s="224">
        <v>0</v>
      </c>
      <c r="E19" s="228" t="s">
        <v>735</v>
      </c>
      <c r="F19" s="225"/>
      <c r="G19" s="226"/>
      <c r="H19" s="226"/>
      <c r="I19" s="226"/>
      <c r="J19" s="231"/>
      <c r="K19" s="231"/>
      <c r="L19" s="227">
        <f>SUM(L20:L20)</f>
        <v>825</v>
      </c>
    </row>
    <row r="20" spans="1:12" ht="18">
      <c r="A20" s="169"/>
      <c r="B20" s="74">
        <v>1</v>
      </c>
      <c r="C20" s="69">
        <v>4</v>
      </c>
      <c r="D20" s="239">
        <v>1</v>
      </c>
      <c r="E20" s="240" t="s">
        <v>734</v>
      </c>
      <c r="F20" s="190" t="s">
        <v>270</v>
      </c>
      <c r="G20" s="73">
        <v>33</v>
      </c>
      <c r="H20" s="234" t="s">
        <v>723</v>
      </c>
      <c r="I20" s="203"/>
      <c r="J20" s="229"/>
      <c r="K20" s="229">
        <v>25</v>
      </c>
      <c r="L20" s="75">
        <f>(J20+K20)*G20</f>
        <v>825</v>
      </c>
    </row>
    <row r="21" spans="1:12" ht="22.2" customHeight="1">
      <c r="B21" s="223">
        <v>1</v>
      </c>
      <c r="C21" s="224">
        <v>5</v>
      </c>
      <c r="D21" s="224">
        <v>0</v>
      </c>
      <c r="E21" s="228" t="s">
        <v>736</v>
      </c>
      <c r="F21" s="225"/>
      <c r="G21" s="226"/>
      <c r="H21" s="226"/>
      <c r="I21" s="226"/>
      <c r="J21" s="231"/>
      <c r="K21" s="231"/>
      <c r="L21" s="227">
        <f>SUM(L22:L23)</f>
        <v>69629.84</v>
      </c>
    </row>
    <row r="22" spans="1:12" ht="27.6">
      <c r="A22" s="169"/>
      <c r="B22" s="74">
        <v>1</v>
      </c>
      <c r="C22" s="69">
        <v>5</v>
      </c>
      <c r="D22" s="70">
        <v>1</v>
      </c>
      <c r="E22" s="236" t="s">
        <v>737</v>
      </c>
      <c r="F22" s="237" t="s">
        <v>373</v>
      </c>
      <c r="G22" s="237">
        <v>4508.3999999999996</v>
      </c>
      <c r="H22" s="234" t="s">
        <v>723</v>
      </c>
      <c r="I22" s="73"/>
      <c r="J22" s="229"/>
      <c r="K22" s="229">
        <v>15</v>
      </c>
      <c r="L22" s="75">
        <f>(J22+K22)*G22</f>
        <v>67626</v>
      </c>
    </row>
    <row r="23" spans="1:12" ht="27.6">
      <c r="A23" s="169"/>
      <c r="B23" s="74">
        <v>1</v>
      </c>
      <c r="C23" s="69">
        <f>$C$21</f>
        <v>5</v>
      </c>
      <c r="D23" s="70">
        <v>2</v>
      </c>
      <c r="E23" s="236" t="s">
        <v>738</v>
      </c>
      <c r="F23" s="237" t="s">
        <v>373</v>
      </c>
      <c r="G23" s="237">
        <v>250.48</v>
      </c>
      <c r="H23" s="234" t="s">
        <v>723</v>
      </c>
      <c r="I23" s="73"/>
      <c r="J23" s="229"/>
      <c r="K23" s="229">
        <v>8</v>
      </c>
      <c r="L23" s="75">
        <f>(J23+K23)*G23</f>
        <v>2003.84</v>
      </c>
    </row>
    <row r="24" spans="1:12" ht="19.8" customHeight="1">
      <c r="B24" s="223">
        <v>1</v>
      </c>
      <c r="C24" s="224">
        <v>6</v>
      </c>
      <c r="D24" s="224">
        <v>0</v>
      </c>
      <c r="E24" s="228" t="s">
        <v>739</v>
      </c>
      <c r="F24" s="225"/>
      <c r="G24" s="226"/>
      <c r="H24" s="226"/>
      <c r="I24" s="226"/>
      <c r="J24" s="231"/>
      <c r="K24" s="231"/>
      <c r="L24" s="227">
        <f>SUM(L25:L26)</f>
        <v>41223</v>
      </c>
    </row>
    <row r="25" spans="1:12" ht="27.6">
      <c r="A25" s="169"/>
      <c r="B25" s="74">
        <v>1</v>
      </c>
      <c r="C25" s="69">
        <f>$C$24</f>
        <v>6</v>
      </c>
      <c r="D25" s="70">
        <v>1</v>
      </c>
      <c r="E25" s="236" t="s">
        <v>740</v>
      </c>
      <c r="F25" s="237" t="s">
        <v>373</v>
      </c>
      <c r="G25" s="237">
        <v>2521</v>
      </c>
      <c r="H25" s="234" t="s">
        <v>723</v>
      </c>
      <c r="I25" s="203"/>
      <c r="J25" s="229"/>
      <c r="K25" s="229">
        <v>15</v>
      </c>
      <c r="L25" s="75">
        <f>(J25+K25)*G25</f>
        <v>37815</v>
      </c>
    </row>
    <row r="26" spans="1:12" ht="27.6">
      <c r="A26" s="169"/>
      <c r="B26" s="74">
        <v>1</v>
      </c>
      <c r="C26" s="69">
        <f>$C$24</f>
        <v>6</v>
      </c>
      <c r="D26" s="70">
        <f>D25+1</f>
        <v>2</v>
      </c>
      <c r="E26" s="236" t="s">
        <v>741</v>
      </c>
      <c r="F26" s="237" t="s">
        <v>373</v>
      </c>
      <c r="G26" s="237">
        <v>426</v>
      </c>
      <c r="H26" s="234" t="s">
        <v>723</v>
      </c>
      <c r="I26" s="203"/>
      <c r="J26" s="229"/>
      <c r="K26" s="229">
        <v>8</v>
      </c>
      <c r="L26" s="75">
        <f>(J26+K26)*G26</f>
        <v>3408</v>
      </c>
    </row>
    <row r="27" spans="1:12" ht="19.8" customHeight="1">
      <c r="B27" s="223">
        <v>1</v>
      </c>
      <c r="C27" s="224">
        <v>7</v>
      </c>
      <c r="D27" s="224">
        <v>0</v>
      </c>
      <c r="E27" s="228" t="s">
        <v>558</v>
      </c>
      <c r="F27" s="225"/>
      <c r="G27" s="226"/>
      <c r="H27" s="226"/>
      <c r="I27" s="226"/>
      <c r="J27" s="231"/>
      <c r="K27" s="231"/>
      <c r="L27" s="227">
        <f>SUM(L28:L28)</f>
        <v>220</v>
      </c>
    </row>
    <row r="28" spans="1:12" ht="37.200000000000003" customHeight="1" thickBot="1">
      <c r="A28" s="169"/>
      <c r="B28" s="96">
        <v>1</v>
      </c>
      <c r="C28" s="97">
        <f>$C$27</f>
        <v>7</v>
      </c>
      <c r="D28" s="98">
        <v>1</v>
      </c>
      <c r="E28" s="241" t="s">
        <v>742</v>
      </c>
      <c r="F28" s="242" t="s">
        <v>270</v>
      </c>
      <c r="G28" s="242">
        <v>2</v>
      </c>
      <c r="H28" s="235" t="s">
        <v>723</v>
      </c>
      <c r="I28" s="243"/>
      <c r="J28" s="232"/>
      <c r="K28" s="232">
        <v>110</v>
      </c>
      <c r="L28" s="194">
        <f>(J28+K28)*G28</f>
        <v>220</v>
      </c>
    </row>
    <row r="29" spans="1:12" ht="14.4" thickTop="1"/>
  </sheetData>
  <sheetProtection algorithmName="SHA-512" hashValue="/g44owHMvUAmNxR3oNTa4vA1QaU5OXVNp4lHb/k9ZQZW/FULEngA3rAIgqznZrk1RsWSpdxo0hWp3ehbOe5SQQ==" saltValue="ibgq2QSW1dGtpp5AZ2gWkw==" spinCount="100000" sheet="1" objects="1" scenarios="1"/>
  <mergeCells count="14">
    <mergeCell ref="B5:D5"/>
    <mergeCell ref="B6:D6"/>
    <mergeCell ref="B7:D7"/>
    <mergeCell ref="B8:D8"/>
    <mergeCell ref="B9:D9"/>
    <mergeCell ref="B1:L1"/>
    <mergeCell ref="B2:D4"/>
    <mergeCell ref="E2:E4"/>
    <mergeCell ref="F2:F4"/>
    <mergeCell ref="G2:G4"/>
    <mergeCell ref="H2:H4"/>
    <mergeCell ref="I2:I4"/>
    <mergeCell ref="J2:L2"/>
    <mergeCell ref="J4:L4"/>
  </mergeCells>
  <phoneticPr fontId="37" type="noConversion"/>
  <printOptions horizontalCentered="1"/>
  <pageMargins left="0.23622047244094499" right="0.23622047244094499" top="0.5" bottom="0.54" header="0.31496062992126" footer="0.31496062992126"/>
  <pageSetup paperSize="9" scale="43" fitToHeight="0" orientation="portrait" r:id="rId1"/>
  <headerFooter>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A1:F41"/>
  <sheetViews>
    <sheetView showWhiteSpace="0" view="pageBreakPreview" topLeftCell="A31" zoomScaleNormal="70" zoomScaleSheetLayoutView="100" workbookViewId="0">
      <selection activeCell="G4" sqref="G4"/>
    </sheetView>
  </sheetViews>
  <sheetFormatPr defaultColWidth="8.88671875" defaultRowHeight="13.8"/>
  <cols>
    <col min="1" max="1" width="12.6640625" style="4" customWidth="1"/>
    <col min="2" max="2" width="47.44140625" style="4" customWidth="1"/>
    <col min="3" max="3" width="6.5546875" style="6" customWidth="1"/>
    <col min="4" max="4" width="9.33203125" style="6" customWidth="1"/>
    <col min="5" max="5" width="14.33203125" style="7" customWidth="1"/>
    <col min="6" max="6" width="17" style="8" customWidth="1"/>
    <col min="7" max="7" width="0.109375" style="4" customWidth="1"/>
    <col min="8" max="16384" width="8.88671875" style="4"/>
  </cols>
  <sheetData>
    <row r="1" spans="1:6" ht="36" customHeight="1" thickBot="1">
      <c r="A1" s="306" t="s">
        <v>357</v>
      </c>
      <c r="B1" s="306"/>
      <c r="C1" s="306"/>
      <c r="D1" s="306"/>
      <c r="E1" s="306"/>
      <c r="F1" s="306"/>
    </row>
    <row r="2" spans="1:6" ht="14.4" thickTop="1">
      <c r="A2" s="307" t="s">
        <v>8</v>
      </c>
      <c r="B2" s="310" t="s">
        <v>1</v>
      </c>
      <c r="C2" s="310" t="s">
        <v>9</v>
      </c>
      <c r="D2" s="313" t="s">
        <v>0</v>
      </c>
      <c r="E2" s="316" t="s">
        <v>10</v>
      </c>
      <c r="F2" s="317"/>
    </row>
    <row r="3" spans="1:6" ht="26.1" customHeight="1">
      <c r="A3" s="308"/>
      <c r="B3" s="311"/>
      <c r="C3" s="311"/>
      <c r="D3" s="314"/>
      <c r="E3" s="49" t="s">
        <v>11</v>
      </c>
      <c r="F3" s="52" t="s">
        <v>4</v>
      </c>
    </row>
    <row r="4" spans="1:6" ht="18" customHeight="1" thickBot="1">
      <c r="A4" s="309"/>
      <c r="B4" s="312"/>
      <c r="C4" s="312"/>
      <c r="D4" s="315"/>
      <c r="E4" s="318" t="s">
        <v>2</v>
      </c>
      <c r="F4" s="319"/>
    </row>
    <row r="5" spans="1:6" ht="57" customHeight="1" thickTop="1">
      <c r="A5" s="53">
        <v>2</v>
      </c>
      <c r="B5" s="59" t="s">
        <v>97</v>
      </c>
      <c r="C5" s="50"/>
      <c r="D5" s="50"/>
      <c r="E5" s="51"/>
      <c r="F5" s="54"/>
    </row>
    <row r="6" spans="1:6" s="5" customFormat="1" ht="66">
      <c r="A6" s="57">
        <v>2.1</v>
      </c>
      <c r="B6" s="40" t="s">
        <v>22</v>
      </c>
      <c r="C6" s="37"/>
      <c r="D6" s="37"/>
      <c r="E6" s="38"/>
      <c r="F6" s="56"/>
    </row>
    <row r="7" spans="1:6" s="5" customFormat="1">
      <c r="A7" s="57" t="s">
        <v>70</v>
      </c>
      <c r="B7" s="40" t="s">
        <v>92</v>
      </c>
      <c r="C7" s="37" t="s">
        <v>15</v>
      </c>
      <c r="D7" s="173">
        <v>1</v>
      </c>
      <c r="E7" s="101">
        <v>48000</v>
      </c>
      <c r="F7" s="56">
        <f>D7*E7</f>
        <v>48000</v>
      </c>
    </row>
    <row r="8" spans="1:6" s="5" customFormat="1">
      <c r="A8" s="57" t="s">
        <v>71</v>
      </c>
      <c r="B8" s="40" t="s">
        <v>90</v>
      </c>
      <c r="C8" s="37" t="s">
        <v>15</v>
      </c>
      <c r="D8" s="172">
        <v>2</v>
      </c>
      <c r="E8" s="102">
        <v>30000</v>
      </c>
      <c r="F8" s="56">
        <f t="shared" ref="F8:F37" si="0">D8*E8</f>
        <v>60000</v>
      </c>
    </row>
    <row r="9" spans="1:6" s="5" customFormat="1">
      <c r="A9" s="57" t="s">
        <v>72</v>
      </c>
      <c r="B9" s="40" t="s">
        <v>46</v>
      </c>
      <c r="C9" s="37" t="s">
        <v>15</v>
      </c>
      <c r="D9" s="173">
        <v>1</v>
      </c>
      <c r="E9" s="101">
        <v>21600</v>
      </c>
      <c r="F9" s="56">
        <f t="shared" si="0"/>
        <v>21600</v>
      </c>
    </row>
    <row r="10" spans="1:6" s="5" customFormat="1">
      <c r="A10" s="57" t="s">
        <v>73</v>
      </c>
      <c r="B10" s="40" t="s">
        <v>47</v>
      </c>
      <c r="C10" s="37" t="s">
        <v>15</v>
      </c>
      <c r="D10" s="172">
        <v>1</v>
      </c>
      <c r="E10" s="102">
        <v>42000</v>
      </c>
      <c r="F10" s="56">
        <f t="shared" si="0"/>
        <v>42000</v>
      </c>
    </row>
    <row r="11" spans="1:6" s="5" customFormat="1" ht="124.5" customHeight="1">
      <c r="A11" s="57" t="s">
        <v>74</v>
      </c>
      <c r="B11" s="40" t="s">
        <v>64</v>
      </c>
      <c r="C11" s="37" t="s">
        <v>15</v>
      </c>
      <c r="D11" s="172">
        <v>4</v>
      </c>
      <c r="E11" s="102">
        <v>30000</v>
      </c>
      <c r="F11" s="56">
        <f t="shared" si="0"/>
        <v>120000</v>
      </c>
    </row>
    <row r="12" spans="1:6" s="5" customFormat="1" ht="26.4">
      <c r="A12" s="57" t="s">
        <v>75</v>
      </c>
      <c r="B12" s="40" t="s">
        <v>48</v>
      </c>
      <c r="C12" s="37" t="s">
        <v>15</v>
      </c>
      <c r="D12" s="172">
        <v>2</v>
      </c>
      <c r="E12" s="102">
        <v>2500</v>
      </c>
      <c r="F12" s="56">
        <f t="shared" si="0"/>
        <v>5000</v>
      </c>
    </row>
    <row r="13" spans="1:6" s="5" customFormat="1">
      <c r="A13" s="57" t="s">
        <v>76</v>
      </c>
      <c r="B13" s="40" t="s">
        <v>91</v>
      </c>
      <c r="C13" s="37" t="s">
        <v>15</v>
      </c>
      <c r="D13" s="173">
        <v>1</v>
      </c>
      <c r="E13" s="101">
        <v>1800</v>
      </c>
      <c r="F13" s="56">
        <f t="shared" si="0"/>
        <v>1800</v>
      </c>
    </row>
    <row r="14" spans="1:6" s="5" customFormat="1">
      <c r="A14" s="57" t="s">
        <v>77</v>
      </c>
      <c r="B14" s="40" t="s">
        <v>91</v>
      </c>
      <c r="C14" s="37" t="s">
        <v>15</v>
      </c>
      <c r="D14" s="172">
        <v>1</v>
      </c>
      <c r="E14" s="102">
        <v>1800</v>
      </c>
      <c r="F14" s="56">
        <f t="shared" si="0"/>
        <v>1800</v>
      </c>
    </row>
    <row r="15" spans="1:6" s="5" customFormat="1">
      <c r="A15" s="57" t="s">
        <v>78</v>
      </c>
      <c r="B15" s="40" t="s">
        <v>49</v>
      </c>
      <c r="C15" s="37" t="s">
        <v>15</v>
      </c>
      <c r="D15" s="173">
        <v>2</v>
      </c>
      <c r="E15" s="101">
        <v>2200</v>
      </c>
      <c r="F15" s="56">
        <f t="shared" si="0"/>
        <v>4400</v>
      </c>
    </row>
    <row r="16" spans="1:6" s="5" customFormat="1">
      <c r="A16" s="57" t="s">
        <v>79</v>
      </c>
      <c r="B16" s="40" t="s">
        <v>50</v>
      </c>
      <c r="C16" s="37" t="s">
        <v>15</v>
      </c>
      <c r="D16" s="172">
        <v>1</v>
      </c>
      <c r="E16" s="102">
        <v>2500</v>
      </c>
      <c r="F16" s="56">
        <f t="shared" si="0"/>
        <v>2500</v>
      </c>
    </row>
    <row r="17" spans="1:6" s="5" customFormat="1">
      <c r="A17" s="57" t="s">
        <v>80</v>
      </c>
      <c r="B17" s="40" t="s">
        <v>51</v>
      </c>
      <c r="C17" s="37" t="s">
        <v>15</v>
      </c>
      <c r="D17" s="172">
        <v>1</v>
      </c>
      <c r="E17" s="102">
        <v>2500</v>
      </c>
      <c r="F17" s="56">
        <f t="shared" si="0"/>
        <v>2500</v>
      </c>
    </row>
    <row r="18" spans="1:6" s="5" customFormat="1">
      <c r="A18" s="57" t="s">
        <v>81</v>
      </c>
      <c r="B18" s="40" t="s">
        <v>52</v>
      </c>
      <c r="C18" s="37" t="s">
        <v>15</v>
      </c>
      <c r="D18" s="172">
        <v>1</v>
      </c>
      <c r="E18" s="102">
        <v>36000</v>
      </c>
      <c r="F18" s="56">
        <f t="shared" si="0"/>
        <v>36000</v>
      </c>
    </row>
    <row r="19" spans="1:6" s="5" customFormat="1">
      <c r="A19" s="57" t="s">
        <v>82</v>
      </c>
      <c r="B19" s="40" t="s">
        <v>53</v>
      </c>
      <c r="C19" s="37" t="s">
        <v>15</v>
      </c>
      <c r="D19" s="173">
        <v>1</v>
      </c>
      <c r="E19" s="101">
        <v>36000</v>
      </c>
      <c r="F19" s="56">
        <f t="shared" si="0"/>
        <v>36000</v>
      </c>
    </row>
    <row r="20" spans="1:6" s="5" customFormat="1">
      <c r="A20" s="57" t="s">
        <v>83</v>
      </c>
      <c r="B20" s="40" t="s">
        <v>54</v>
      </c>
      <c r="C20" s="37" t="s">
        <v>15</v>
      </c>
      <c r="D20" s="173">
        <v>1</v>
      </c>
      <c r="E20" s="101">
        <v>24000</v>
      </c>
      <c r="F20" s="56">
        <f t="shared" si="0"/>
        <v>24000</v>
      </c>
    </row>
    <row r="21" spans="1:6" s="5" customFormat="1">
      <c r="A21" s="57" t="s">
        <v>84</v>
      </c>
      <c r="B21" s="40" t="s">
        <v>55</v>
      </c>
      <c r="C21" s="37" t="s">
        <v>15</v>
      </c>
      <c r="D21" s="173">
        <v>1</v>
      </c>
      <c r="E21" s="101">
        <v>2000</v>
      </c>
      <c r="F21" s="56">
        <f t="shared" si="0"/>
        <v>2000</v>
      </c>
    </row>
    <row r="22" spans="1:6" s="5" customFormat="1" ht="15" customHeight="1">
      <c r="A22" s="57" t="s">
        <v>85</v>
      </c>
      <c r="B22" s="40" t="s">
        <v>56</v>
      </c>
      <c r="C22" s="37" t="s">
        <v>15</v>
      </c>
      <c r="D22" s="172">
        <v>1</v>
      </c>
      <c r="E22" s="102">
        <v>1500</v>
      </c>
      <c r="F22" s="56">
        <f t="shared" si="0"/>
        <v>1500</v>
      </c>
    </row>
    <row r="23" spans="1:6" s="5" customFormat="1">
      <c r="A23" s="57" t="s">
        <v>86</v>
      </c>
      <c r="B23" s="40" t="s">
        <v>57</v>
      </c>
      <c r="C23" s="37" t="s">
        <v>15</v>
      </c>
      <c r="D23" s="173">
        <v>1</v>
      </c>
      <c r="E23" s="101">
        <v>1600</v>
      </c>
      <c r="F23" s="56">
        <f t="shared" si="0"/>
        <v>1600</v>
      </c>
    </row>
    <row r="24" spans="1:6" s="5" customFormat="1" ht="18" customHeight="1">
      <c r="A24" s="57" t="s">
        <v>87</v>
      </c>
      <c r="B24" s="40" t="s">
        <v>33</v>
      </c>
      <c r="C24" s="37" t="s">
        <v>15</v>
      </c>
      <c r="D24" s="172">
        <v>1</v>
      </c>
      <c r="E24" s="102">
        <v>3500</v>
      </c>
      <c r="F24" s="56">
        <f t="shared" si="0"/>
        <v>3500</v>
      </c>
    </row>
    <row r="25" spans="1:6" s="5" customFormat="1">
      <c r="A25" s="57" t="s">
        <v>88</v>
      </c>
      <c r="B25" s="40" t="s">
        <v>21</v>
      </c>
      <c r="C25" s="37" t="s">
        <v>15</v>
      </c>
      <c r="D25" s="173">
        <v>1</v>
      </c>
      <c r="E25" s="101">
        <v>18000</v>
      </c>
      <c r="F25" s="56">
        <f t="shared" si="0"/>
        <v>18000</v>
      </c>
    </row>
    <row r="26" spans="1:6" s="5" customFormat="1">
      <c r="A26" s="57">
        <v>2.2000000000000002</v>
      </c>
      <c r="B26" s="40" t="s">
        <v>26</v>
      </c>
      <c r="C26" s="37" t="s">
        <v>15</v>
      </c>
      <c r="D26" s="172">
        <v>50</v>
      </c>
      <c r="E26" s="102">
        <v>2880</v>
      </c>
      <c r="F26" s="56">
        <f t="shared" si="0"/>
        <v>144000</v>
      </c>
    </row>
    <row r="27" spans="1:6" s="5" customFormat="1" ht="26.4">
      <c r="A27" s="57">
        <v>2.2999999999999998</v>
      </c>
      <c r="B27" s="40" t="s">
        <v>25</v>
      </c>
      <c r="C27" s="37" t="s">
        <v>15</v>
      </c>
      <c r="D27" s="172">
        <v>50</v>
      </c>
      <c r="E27" s="102">
        <v>540</v>
      </c>
      <c r="F27" s="56">
        <f t="shared" si="0"/>
        <v>27000</v>
      </c>
    </row>
    <row r="28" spans="1:6" s="5" customFormat="1" ht="26.4">
      <c r="A28" s="57">
        <v>2.4</v>
      </c>
      <c r="B28" s="40" t="s">
        <v>24</v>
      </c>
      <c r="C28" s="37" t="s">
        <v>15</v>
      </c>
      <c r="D28" s="173">
        <v>50</v>
      </c>
      <c r="E28" s="101">
        <v>250</v>
      </c>
      <c r="F28" s="56">
        <f t="shared" si="0"/>
        <v>12500</v>
      </c>
    </row>
    <row r="29" spans="1:6" s="5" customFormat="1">
      <c r="A29" s="57">
        <v>2.5</v>
      </c>
      <c r="B29" s="40" t="s">
        <v>23</v>
      </c>
      <c r="C29" s="37" t="s">
        <v>15</v>
      </c>
      <c r="D29" s="173">
        <v>50</v>
      </c>
      <c r="E29" s="101">
        <v>1800</v>
      </c>
      <c r="F29" s="56">
        <f t="shared" si="0"/>
        <v>90000</v>
      </c>
    </row>
    <row r="30" spans="1:6" s="5" customFormat="1">
      <c r="A30" s="57">
        <v>2.6</v>
      </c>
      <c r="B30" s="40" t="s">
        <v>27</v>
      </c>
      <c r="C30" s="37" t="s">
        <v>15</v>
      </c>
      <c r="D30" s="172">
        <v>50</v>
      </c>
      <c r="E30" s="102">
        <v>5400</v>
      </c>
      <c r="F30" s="56">
        <f t="shared" si="0"/>
        <v>270000</v>
      </c>
    </row>
    <row r="31" spans="1:6" s="5" customFormat="1">
      <c r="A31" s="57">
        <v>2.7</v>
      </c>
      <c r="B31" s="40" t="s">
        <v>30</v>
      </c>
      <c r="C31" s="37" t="s">
        <v>15</v>
      </c>
      <c r="D31" s="173">
        <v>50</v>
      </c>
      <c r="E31" s="101">
        <v>450</v>
      </c>
      <c r="F31" s="56">
        <f t="shared" si="0"/>
        <v>22500</v>
      </c>
    </row>
    <row r="32" spans="1:6" s="5" customFormat="1">
      <c r="A32" s="57">
        <v>2.8</v>
      </c>
      <c r="B32" s="40" t="s">
        <v>31</v>
      </c>
      <c r="C32" s="37" t="s">
        <v>15</v>
      </c>
      <c r="D32" s="173">
        <v>50</v>
      </c>
      <c r="E32" s="101">
        <v>450</v>
      </c>
      <c r="F32" s="56">
        <f t="shared" si="0"/>
        <v>22500</v>
      </c>
    </row>
    <row r="33" spans="1:6" s="5" customFormat="1" ht="59.25" customHeight="1">
      <c r="A33" s="57">
        <v>2.9</v>
      </c>
      <c r="B33" s="40" t="s">
        <v>95</v>
      </c>
      <c r="C33" s="37" t="s">
        <v>15</v>
      </c>
      <c r="D33" s="173">
        <v>50</v>
      </c>
      <c r="E33" s="101">
        <v>720</v>
      </c>
      <c r="F33" s="56">
        <f t="shared" si="0"/>
        <v>36000</v>
      </c>
    </row>
    <row r="34" spans="1:6" s="5" customFormat="1">
      <c r="A34" s="57">
        <v>2.1</v>
      </c>
      <c r="B34" s="40" t="s">
        <v>94</v>
      </c>
      <c r="C34" s="37" t="s">
        <v>15</v>
      </c>
      <c r="D34" s="173">
        <v>50</v>
      </c>
      <c r="E34" s="101">
        <v>720</v>
      </c>
      <c r="F34" s="56">
        <f t="shared" si="0"/>
        <v>36000</v>
      </c>
    </row>
    <row r="35" spans="1:6" s="5" customFormat="1" ht="39.6">
      <c r="A35" s="57">
        <v>2.11</v>
      </c>
      <c r="B35" s="40" t="s">
        <v>20</v>
      </c>
      <c r="C35" s="37" t="s">
        <v>15</v>
      </c>
      <c r="D35" s="173">
        <v>50</v>
      </c>
      <c r="E35" s="101">
        <v>7128</v>
      </c>
      <c r="F35" s="56">
        <f t="shared" si="0"/>
        <v>356400</v>
      </c>
    </row>
    <row r="36" spans="1:6" s="5" customFormat="1" ht="52.8">
      <c r="A36" s="60">
        <v>2.12</v>
      </c>
      <c r="B36" s="40" t="s">
        <v>35</v>
      </c>
      <c r="C36" s="37" t="s">
        <v>15</v>
      </c>
      <c r="D36" s="173">
        <v>10</v>
      </c>
      <c r="E36" s="101">
        <v>1800</v>
      </c>
      <c r="F36" s="56">
        <f t="shared" si="0"/>
        <v>18000</v>
      </c>
    </row>
    <row r="37" spans="1:6" s="5" customFormat="1" ht="26.4">
      <c r="A37" s="57">
        <v>2.13</v>
      </c>
      <c r="B37" s="40" t="s">
        <v>36</v>
      </c>
      <c r="C37" s="37" t="s">
        <v>15</v>
      </c>
      <c r="D37" s="173">
        <v>10</v>
      </c>
      <c r="E37" s="101">
        <v>240</v>
      </c>
      <c r="F37" s="56">
        <f t="shared" si="0"/>
        <v>2400</v>
      </c>
    </row>
    <row r="38" spans="1:6" s="5" customFormat="1" ht="79.2">
      <c r="A38" s="60">
        <v>2.14</v>
      </c>
      <c r="B38" s="48" t="s">
        <v>12</v>
      </c>
      <c r="C38" s="37" t="s">
        <v>15</v>
      </c>
      <c r="D38" s="173"/>
      <c r="E38" s="101"/>
      <c r="F38" s="56">
        <v>90000</v>
      </c>
    </row>
    <row r="39" spans="1:6" s="5" customFormat="1" ht="40.200000000000003" thickBot="1">
      <c r="A39" s="57">
        <v>2.16</v>
      </c>
      <c r="B39" s="48" t="s">
        <v>60</v>
      </c>
      <c r="C39" s="37" t="s">
        <v>15</v>
      </c>
      <c r="D39" s="174"/>
      <c r="E39" s="103"/>
      <c r="F39" s="175">
        <v>50000</v>
      </c>
    </row>
    <row r="40" spans="1:6" s="5" customFormat="1" ht="15" thickTop="1" thickBot="1">
      <c r="A40" s="304" t="s">
        <v>16</v>
      </c>
      <c r="B40" s="305"/>
      <c r="C40" s="305"/>
      <c r="D40" s="305"/>
      <c r="E40" s="305"/>
      <c r="F40" s="104">
        <f>SUM(F5:F39)</f>
        <v>1609500</v>
      </c>
    </row>
    <row r="41" spans="1:6" ht="14.4" thickTop="1"/>
  </sheetData>
  <mergeCells count="8">
    <mergeCell ref="A40:E40"/>
    <mergeCell ref="A1:F1"/>
    <mergeCell ref="A2:A4"/>
    <mergeCell ref="B2:B4"/>
    <mergeCell ref="C2:C4"/>
    <mergeCell ref="D2:D4"/>
    <mergeCell ref="E2:F2"/>
    <mergeCell ref="E4:F4"/>
  </mergeCells>
  <printOptions horizontalCentered="1"/>
  <pageMargins left="0.23622047244094499" right="0.23622047244094499" top="0.74803149606299202" bottom="0.74803149606299202" header="0.31496062992126" footer="0.31496062992126"/>
  <pageSetup paperSize="9" scale="92" fitToHeight="0" orientation="portrait" horizontalDpi="1200" verticalDpi="1200" r:id="rId1"/>
  <headerFooter alignWithMargins="0">
    <oddHeader>&amp;C&amp;"-,Italic"Layihə - __________ İşləri</oddHeader>
    <oddFooter>&amp;L&amp;A&amp;R&amp;P/&amp;N</oddFooter>
  </headerFooter>
  <rowBreaks count="1" manualBreakCount="1">
    <brk id="27"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1:I21"/>
  <sheetViews>
    <sheetView showWhiteSpace="0" view="pageBreakPreview" topLeftCell="A14" zoomScale="115" zoomScaleNormal="70" zoomScaleSheetLayoutView="115" workbookViewId="0">
      <selection activeCell="E19" sqref="E19"/>
    </sheetView>
  </sheetViews>
  <sheetFormatPr defaultColWidth="8.88671875" defaultRowHeight="13.8"/>
  <cols>
    <col min="1" max="1" width="12.6640625" style="4" customWidth="1"/>
    <col min="2" max="2" width="51.88671875" style="4" customWidth="1"/>
    <col min="3" max="3" width="6.5546875" style="6" customWidth="1"/>
    <col min="4" max="4" width="9.33203125" style="6" customWidth="1"/>
    <col min="5" max="5" width="14.33203125" style="7" customWidth="1"/>
    <col min="6" max="6" width="17" style="8" customWidth="1"/>
    <col min="7" max="7" width="12.109375" style="4" bestFit="1" customWidth="1"/>
    <col min="8" max="8" width="8.88671875" style="4"/>
    <col min="9" max="9" width="18.33203125" style="4" bestFit="1" customWidth="1"/>
    <col min="10" max="16384" width="8.88671875" style="4"/>
  </cols>
  <sheetData>
    <row r="1" spans="1:9" ht="48" customHeight="1" thickBot="1">
      <c r="A1" s="306" t="s">
        <v>358</v>
      </c>
      <c r="B1" s="306"/>
      <c r="C1" s="306"/>
      <c r="D1" s="306"/>
      <c r="E1" s="306"/>
      <c r="F1" s="306"/>
    </row>
    <row r="2" spans="1:9" ht="14.4" thickTop="1">
      <c r="A2" s="307" t="s">
        <v>8</v>
      </c>
      <c r="B2" s="310" t="s">
        <v>1</v>
      </c>
      <c r="C2" s="310" t="s">
        <v>9</v>
      </c>
      <c r="D2" s="313" t="s">
        <v>0</v>
      </c>
      <c r="E2" s="316" t="s">
        <v>10</v>
      </c>
      <c r="F2" s="317"/>
    </row>
    <row r="3" spans="1:9" ht="26.1" customHeight="1">
      <c r="A3" s="308"/>
      <c r="B3" s="311"/>
      <c r="C3" s="311"/>
      <c r="D3" s="314"/>
      <c r="E3" s="49" t="s">
        <v>11</v>
      </c>
      <c r="F3" s="52" t="s">
        <v>4</v>
      </c>
    </row>
    <row r="4" spans="1:9" ht="18" customHeight="1" thickBot="1">
      <c r="A4" s="309"/>
      <c r="B4" s="312"/>
      <c r="C4" s="312"/>
      <c r="D4" s="315"/>
      <c r="E4" s="318" t="s">
        <v>2</v>
      </c>
      <c r="F4" s="319"/>
    </row>
    <row r="5" spans="1:9" ht="40.200000000000003" thickTop="1">
      <c r="A5" s="53">
        <v>1</v>
      </c>
      <c r="B5" s="65" t="s">
        <v>66</v>
      </c>
      <c r="C5" s="50"/>
      <c r="D5" s="50"/>
      <c r="E5" s="51"/>
      <c r="F5" s="54"/>
      <c r="I5" s="5"/>
    </row>
    <row r="6" spans="1:9" s="5" customFormat="1">
      <c r="A6" s="55">
        <v>1.1000000000000001</v>
      </c>
      <c r="B6" s="39" t="s">
        <v>17</v>
      </c>
      <c r="C6" s="37"/>
      <c r="D6" s="172"/>
      <c r="E6" s="170"/>
      <c r="F6" s="56"/>
    </row>
    <row r="7" spans="1:9" s="5" customFormat="1">
      <c r="A7" s="57" t="s">
        <v>28</v>
      </c>
      <c r="B7" s="36" t="s">
        <v>98</v>
      </c>
      <c r="C7" s="37" t="s">
        <v>15</v>
      </c>
      <c r="D7" s="173"/>
      <c r="E7" s="101"/>
      <c r="F7" s="56">
        <f>D7*E7</f>
        <v>0</v>
      </c>
    </row>
    <row r="8" spans="1:9" s="5" customFormat="1">
      <c r="A8" s="57" t="s">
        <v>19</v>
      </c>
      <c r="B8" s="36" t="s">
        <v>99</v>
      </c>
      <c r="C8" s="37" t="s">
        <v>15</v>
      </c>
      <c r="D8" s="173"/>
      <c r="E8" s="101"/>
      <c r="F8" s="56">
        <f t="shared" ref="F8:F17" si="0">D8*E8</f>
        <v>0</v>
      </c>
    </row>
    <row r="9" spans="1:9" s="5" customFormat="1" ht="39.6">
      <c r="A9" s="57" t="s">
        <v>29</v>
      </c>
      <c r="B9" s="40" t="s">
        <v>69</v>
      </c>
      <c r="C9" s="37" t="s">
        <v>15</v>
      </c>
      <c r="D9" s="172"/>
      <c r="E9" s="171"/>
      <c r="F9" s="56">
        <v>12000</v>
      </c>
    </row>
    <row r="10" spans="1:9" s="5" customFormat="1">
      <c r="A10" s="55">
        <v>1.2</v>
      </c>
      <c r="B10" s="41" t="s">
        <v>37</v>
      </c>
      <c r="C10" s="37"/>
      <c r="D10" s="172"/>
      <c r="E10" s="170"/>
      <c r="F10" s="56">
        <f t="shared" si="0"/>
        <v>0</v>
      </c>
    </row>
    <row r="11" spans="1:9" s="5" customFormat="1" ht="116.25" customHeight="1">
      <c r="A11" s="176" t="s">
        <v>107</v>
      </c>
      <c r="B11" s="42" t="s">
        <v>65</v>
      </c>
      <c r="C11" s="37" t="s">
        <v>15</v>
      </c>
      <c r="D11" s="172"/>
      <c r="E11" s="101"/>
      <c r="F11" s="56">
        <v>45000</v>
      </c>
    </row>
    <row r="12" spans="1:9" s="5" customFormat="1" ht="54.75" customHeight="1">
      <c r="A12" s="176" t="s">
        <v>108</v>
      </c>
      <c r="B12" s="40" t="s">
        <v>42</v>
      </c>
      <c r="C12" s="37" t="s">
        <v>15</v>
      </c>
      <c r="D12" s="37"/>
      <c r="E12" s="38"/>
      <c r="F12" s="56">
        <v>38000</v>
      </c>
    </row>
    <row r="13" spans="1:9" s="5" customFormat="1" ht="26.4">
      <c r="A13" s="55">
        <v>1.3</v>
      </c>
      <c r="B13" s="43" t="s">
        <v>32</v>
      </c>
      <c r="C13" s="37"/>
      <c r="D13" s="37"/>
      <c r="E13" s="38"/>
      <c r="F13" s="56">
        <f t="shared" si="0"/>
        <v>0</v>
      </c>
    </row>
    <row r="14" spans="1:9" s="5" customFormat="1" ht="39.75" customHeight="1">
      <c r="A14" s="58" t="s">
        <v>38</v>
      </c>
      <c r="B14" s="44" t="s">
        <v>58</v>
      </c>
      <c r="C14" s="45" t="s">
        <v>15</v>
      </c>
      <c r="D14" s="45"/>
      <c r="E14" s="61"/>
      <c r="F14" s="62">
        <v>722000</v>
      </c>
    </row>
    <row r="15" spans="1:9" s="5" customFormat="1" ht="52.8">
      <c r="A15" s="176" t="s">
        <v>356</v>
      </c>
      <c r="B15" s="47" t="s">
        <v>43</v>
      </c>
      <c r="C15" s="45" t="s">
        <v>15</v>
      </c>
      <c r="D15" s="45">
        <v>60</v>
      </c>
      <c r="E15" s="61">
        <v>390</v>
      </c>
      <c r="F15" s="62">
        <f t="shared" si="0"/>
        <v>23400</v>
      </c>
    </row>
    <row r="16" spans="1:9" s="5" customFormat="1" ht="66">
      <c r="A16" s="176" t="s">
        <v>59</v>
      </c>
      <c r="B16" s="44" t="s">
        <v>34</v>
      </c>
      <c r="C16" s="45" t="s">
        <v>15</v>
      </c>
      <c r="D16" s="45"/>
      <c r="E16" s="46"/>
      <c r="F16" s="56">
        <v>65000</v>
      </c>
    </row>
    <row r="17" spans="1:6" s="5" customFormat="1">
      <c r="A17" s="55">
        <v>1.6</v>
      </c>
      <c r="B17" s="41" t="s">
        <v>13</v>
      </c>
      <c r="C17" s="37"/>
      <c r="D17" s="37"/>
      <c r="E17" s="38"/>
      <c r="F17" s="56">
        <f t="shared" si="0"/>
        <v>0</v>
      </c>
    </row>
    <row r="18" spans="1:6" s="5" customFormat="1">
      <c r="A18" s="57" t="s">
        <v>39</v>
      </c>
      <c r="B18" s="40" t="s">
        <v>14</v>
      </c>
      <c r="C18" s="37" t="s">
        <v>15</v>
      </c>
      <c r="D18" s="37"/>
      <c r="E18" s="38"/>
      <c r="F18" s="56">
        <v>35000</v>
      </c>
    </row>
    <row r="19" spans="1:6" s="5" customFormat="1" ht="40.200000000000003" thickBot="1">
      <c r="A19" s="57" t="s">
        <v>40</v>
      </c>
      <c r="B19" s="40" t="s">
        <v>41</v>
      </c>
      <c r="C19" s="37" t="s">
        <v>15</v>
      </c>
      <c r="D19" s="37"/>
      <c r="E19" s="38"/>
      <c r="F19" s="56">
        <v>25000</v>
      </c>
    </row>
    <row r="20" spans="1:6" s="5" customFormat="1" ht="15" thickTop="1" thickBot="1">
      <c r="A20" s="304" t="s">
        <v>16</v>
      </c>
      <c r="B20" s="305"/>
      <c r="C20" s="305"/>
      <c r="D20" s="305"/>
      <c r="E20" s="305"/>
      <c r="F20" s="104">
        <f>SUM(F5:F19)</f>
        <v>965400</v>
      </c>
    </row>
    <row r="21" spans="1:6" ht="14.4" thickTop="1"/>
  </sheetData>
  <mergeCells count="8">
    <mergeCell ref="A20:E20"/>
    <mergeCell ref="A1:F1"/>
    <mergeCell ref="A2:A4"/>
    <mergeCell ref="B2:B4"/>
    <mergeCell ref="C2:C4"/>
    <mergeCell ref="D2:D4"/>
    <mergeCell ref="E2:F2"/>
    <mergeCell ref="E4:F4"/>
  </mergeCells>
  <printOptions horizontalCentered="1"/>
  <pageMargins left="0.23622047244094499" right="0.23622047244094499" top="0.74803149606299202" bottom="0.74803149606299202" header="0.31496062992126" footer="0.31496062992126"/>
  <pageSetup paperSize="9" scale="88" fitToHeight="0" orientation="portrait" horizontalDpi="1200" verticalDpi="1200" r:id="rId1"/>
  <headerFooter alignWithMargins="0">
    <oddHeader>&amp;C&amp;"-,Italic"Layihə - __________ İşləri</oddHeader>
    <oddFooter>&amp;L&amp;A&amp;R&amp;P/&amp;N</oddFooter>
  </headerFooter>
  <rowBreaks count="1" manualBreakCount="1">
    <brk id="16" max="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F8F2E-96E2-435C-84DF-5BF0893AA2D1}">
  <sheetPr>
    <tabColor rgb="FF00B050"/>
  </sheetPr>
  <dimension ref="B2:I144"/>
  <sheetViews>
    <sheetView showGridLines="0" topLeftCell="D95" workbookViewId="0">
      <selection activeCell="L120" sqref="L120"/>
    </sheetView>
  </sheetViews>
  <sheetFormatPr defaultRowHeight="14.4"/>
  <cols>
    <col min="1" max="1" width="5" style="159" customWidth="1"/>
    <col min="2" max="2" width="8.44140625" style="159" customWidth="1"/>
    <col min="3" max="3" width="65" style="159" bestFit="1" customWidth="1"/>
    <col min="4" max="4" width="68.44140625" style="159" customWidth="1"/>
    <col min="5" max="8" width="10.5546875" style="159" customWidth="1"/>
    <col min="9" max="9" width="60.5546875" style="159" customWidth="1"/>
    <col min="10" max="16384" width="8.88671875" style="159"/>
  </cols>
  <sheetData>
    <row r="2" spans="2:9">
      <c r="B2" s="137" t="s">
        <v>567</v>
      </c>
    </row>
    <row r="3" spans="2:9" ht="15" thickBot="1"/>
    <row r="4" spans="2:9" ht="28.8" customHeight="1">
      <c r="B4" s="322" t="s">
        <v>100</v>
      </c>
      <c r="C4" s="326" t="s">
        <v>272</v>
      </c>
      <c r="D4" s="324" t="s">
        <v>101</v>
      </c>
      <c r="E4" s="326" t="s">
        <v>273</v>
      </c>
      <c r="F4" s="326"/>
      <c r="G4" s="326" t="s">
        <v>274</v>
      </c>
      <c r="H4" s="326"/>
      <c r="I4" s="320" t="s">
        <v>275</v>
      </c>
    </row>
    <row r="5" spans="2:9" ht="27.6" customHeight="1">
      <c r="B5" s="323"/>
      <c r="C5" s="327"/>
      <c r="D5" s="325"/>
      <c r="E5" s="197" t="s">
        <v>102</v>
      </c>
      <c r="F5" s="197" t="s">
        <v>103</v>
      </c>
      <c r="G5" s="197" t="s">
        <v>102</v>
      </c>
      <c r="H5" s="197" t="s">
        <v>103</v>
      </c>
      <c r="I5" s="321"/>
    </row>
    <row r="6" spans="2:9">
      <c r="B6" s="134">
        <v>1</v>
      </c>
      <c r="C6" s="135" t="s">
        <v>276</v>
      </c>
      <c r="D6" s="135" t="s">
        <v>104</v>
      </c>
      <c r="E6" s="136"/>
      <c r="F6" s="136"/>
      <c r="G6" s="136"/>
      <c r="H6" s="136"/>
      <c r="I6" s="160"/>
    </row>
    <row r="7" spans="2:9">
      <c r="B7" s="138" t="s">
        <v>105</v>
      </c>
      <c r="C7" s="180" t="s">
        <v>278</v>
      </c>
      <c r="D7" s="180" t="s">
        <v>277</v>
      </c>
      <c r="E7" s="139"/>
      <c r="F7" s="139" t="s">
        <v>106</v>
      </c>
      <c r="G7" s="139"/>
      <c r="H7" s="139" t="s">
        <v>106</v>
      </c>
      <c r="I7" s="161"/>
    </row>
    <row r="8" spans="2:9">
      <c r="B8" s="140" t="s">
        <v>279</v>
      </c>
      <c r="C8" s="181" t="s">
        <v>281</v>
      </c>
      <c r="D8" s="181" t="s">
        <v>280</v>
      </c>
      <c r="E8" s="139"/>
      <c r="F8" s="139" t="s">
        <v>106</v>
      </c>
      <c r="G8" s="139"/>
      <c r="H8" s="139" t="s">
        <v>106</v>
      </c>
      <c r="I8" s="162"/>
    </row>
    <row r="9" spans="2:9">
      <c r="B9" s="138" t="s">
        <v>109</v>
      </c>
      <c r="C9" s="182" t="s">
        <v>283</v>
      </c>
      <c r="D9" s="182" t="s">
        <v>282</v>
      </c>
      <c r="E9" s="139"/>
      <c r="F9" s="139" t="s">
        <v>106</v>
      </c>
      <c r="G9" s="139"/>
      <c r="H9" s="139" t="s">
        <v>106</v>
      </c>
      <c r="I9" s="162"/>
    </row>
    <row r="10" spans="2:9">
      <c r="B10" s="140" t="s">
        <v>110</v>
      </c>
      <c r="C10" s="181" t="s">
        <v>285</v>
      </c>
      <c r="D10" s="181" t="s">
        <v>284</v>
      </c>
      <c r="E10" s="139"/>
      <c r="F10" s="139" t="s">
        <v>106</v>
      </c>
      <c r="G10" s="139"/>
      <c r="H10" s="139" t="s">
        <v>106</v>
      </c>
      <c r="I10" s="162"/>
    </row>
    <row r="11" spans="2:9">
      <c r="B11" s="138" t="s">
        <v>111</v>
      </c>
      <c r="C11" s="181" t="s">
        <v>287</v>
      </c>
      <c r="D11" s="181" t="s">
        <v>286</v>
      </c>
      <c r="E11" s="139"/>
      <c r="F11" s="139" t="s">
        <v>106</v>
      </c>
      <c r="G11" s="139"/>
      <c r="H11" s="139" t="s">
        <v>106</v>
      </c>
      <c r="I11" s="162"/>
    </row>
    <row r="12" spans="2:9">
      <c r="B12" s="140" t="s">
        <v>112</v>
      </c>
      <c r="C12" s="181" t="s">
        <v>289</v>
      </c>
      <c r="D12" s="181" t="s">
        <v>288</v>
      </c>
      <c r="E12" s="139"/>
      <c r="F12" s="139" t="s">
        <v>106</v>
      </c>
      <c r="G12" s="139"/>
      <c r="H12" s="139" t="s">
        <v>106</v>
      </c>
      <c r="I12" s="162"/>
    </row>
    <row r="13" spans="2:9">
      <c r="B13" s="138" t="s">
        <v>113</v>
      </c>
      <c r="C13" s="181" t="s">
        <v>291</v>
      </c>
      <c r="D13" s="181" t="s">
        <v>290</v>
      </c>
      <c r="E13" s="139"/>
      <c r="F13" s="139" t="s">
        <v>106</v>
      </c>
      <c r="G13" s="139"/>
      <c r="H13" s="139" t="s">
        <v>106</v>
      </c>
      <c r="I13" s="162"/>
    </row>
    <row r="14" spans="2:9">
      <c r="B14" s="140" t="s">
        <v>114</v>
      </c>
      <c r="C14" s="181" t="s">
        <v>293</v>
      </c>
      <c r="D14" s="181" t="s">
        <v>292</v>
      </c>
      <c r="E14" s="141"/>
      <c r="F14" s="141" t="s">
        <v>106</v>
      </c>
      <c r="G14" s="141"/>
      <c r="H14" s="141" t="s">
        <v>106</v>
      </c>
      <c r="I14" s="162"/>
    </row>
    <row r="15" spans="2:9">
      <c r="B15" s="138" t="s">
        <v>115</v>
      </c>
      <c r="C15" s="181" t="s">
        <v>295</v>
      </c>
      <c r="D15" s="181" t="s">
        <v>294</v>
      </c>
      <c r="E15" s="141"/>
      <c r="F15" s="141" t="s">
        <v>106</v>
      </c>
      <c r="G15" s="141"/>
      <c r="H15" s="141" t="s">
        <v>106</v>
      </c>
      <c r="I15" s="162"/>
    </row>
    <row r="16" spans="2:9">
      <c r="B16" s="140" t="s">
        <v>116</v>
      </c>
      <c r="C16" s="181" t="s">
        <v>296</v>
      </c>
      <c r="D16" s="182" t="s">
        <v>117</v>
      </c>
      <c r="E16" s="141"/>
      <c r="F16" s="141" t="s">
        <v>106</v>
      </c>
      <c r="G16" s="141"/>
      <c r="H16" s="141" t="s">
        <v>106</v>
      </c>
      <c r="I16" s="162"/>
    </row>
    <row r="17" spans="2:9">
      <c r="B17" s="134">
        <v>2</v>
      </c>
      <c r="C17" s="135" t="s">
        <v>297</v>
      </c>
      <c r="D17" s="135" t="s">
        <v>118</v>
      </c>
      <c r="E17" s="136"/>
      <c r="F17" s="136"/>
      <c r="G17" s="136"/>
      <c r="H17" s="136"/>
      <c r="I17" s="160"/>
    </row>
    <row r="18" spans="2:9">
      <c r="B18" s="138" t="s">
        <v>119</v>
      </c>
      <c r="C18" s="180" t="s">
        <v>278</v>
      </c>
      <c r="D18" s="180" t="s">
        <v>277</v>
      </c>
      <c r="E18" s="139"/>
      <c r="F18" s="139" t="s">
        <v>106</v>
      </c>
      <c r="G18" s="139"/>
      <c r="H18" s="139" t="s">
        <v>106</v>
      </c>
      <c r="I18" s="161"/>
    </row>
    <row r="19" spans="2:9">
      <c r="B19" s="140" t="s">
        <v>298</v>
      </c>
      <c r="C19" s="181" t="s">
        <v>281</v>
      </c>
      <c r="D19" s="181" t="s">
        <v>280</v>
      </c>
      <c r="E19" s="139"/>
      <c r="F19" s="139" t="s">
        <v>106</v>
      </c>
      <c r="G19" s="139"/>
      <c r="H19" s="139" t="s">
        <v>106</v>
      </c>
      <c r="I19" s="162"/>
    </row>
    <row r="20" spans="2:9">
      <c r="B20" s="138" t="s">
        <v>120</v>
      </c>
      <c r="C20" s="182" t="s">
        <v>283</v>
      </c>
      <c r="D20" s="182" t="s">
        <v>282</v>
      </c>
      <c r="E20" s="139"/>
      <c r="F20" s="139" t="s">
        <v>106</v>
      </c>
      <c r="G20" s="139"/>
      <c r="H20" s="139" t="s">
        <v>106</v>
      </c>
      <c r="I20" s="162"/>
    </row>
    <row r="21" spans="2:9">
      <c r="B21" s="140" t="s">
        <v>121</v>
      </c>
      <c r="C21" s="181" t="s">
        <v>299</v>
      </c>
      <c r="D21" s="181" t="s">
        <v>284</v>
      </c>
      <c r="E21" s="141"/>
      <c r="F21" s="141" t="s">
        <v>106</v>
      </c>
      <c r="G21" s="141"/>
      <c r="H21" s="141" t="s">
        <v>106</v>
      </c>
      <c r="I21" s="162"/>
    </row>
    <row r="22" spans="2:9">
      <c r="B22" s="138" t="s">
        <v>122</v>
      </c>
      <c r="C22" s="181" t="s">
        <v>287</v>
      </c>
      <c r="D22" s="181" t="s">
        <v>286</v>
      </c>
      <c r="E22" s="141"/>
      <c r="F22" s="141" t="s">
        <v>106</v>
      </c>
      <c r="G22" s="141"/>
      <c r="H22" s="141" t="s">
        <v>106</v>
      </c>
      <c r="I22" s="162"/>
    </row>
    <row r="23" spans="2:9">
      <c r="B23" s="140" t="s">
        <v>123</v>
      </c>
      <c r="C23" s="181" t="s">
        <v>300</v>
      </c>
      <c r="D23" s="181" t="s">
        <v>288</v>
      </c>
      <c r="E23" s="141"/>
      <c r="F23" s="141" t="s">
        <v>106</v>
      </c>
      <c r="G23" s="141"/>
      <c r="H23" s="141" t="s">
        <v>106</v>
      </c>
      <c r="I23" s="162"/>
    </row>
    <row r="24" spans="2:9">
      <c r="B24" s="138" t="s">
        <v>124</v>
      </c>
      <c r="C24" s="181" t="s">
        <v>291</v>
      </c>
      <c r="D24" s="181" t="s">
        <v>290</v>
      </c>
      <c r="E24" s="141"/>
      <c r="F24" s="141" t="s">
        <v>106</v>
      </c>
      <c r="G24" s="141"/>
      <c r="H24" s="141" t="s">
        <v>106</v>
      </c>
      <c r="I24" s="162"/>
    </row>
    <row r="25" spans="2:9">
      <c r="B25" s="140" t="s">
        <v>125</v>
      </c>
      <c r="C25" s="181" t="s">
        <v>293</v>
      </c>
      <c r="D25" s="181" t="s">
        <v>301</v>
      </c>
      <c r="E25" s="141"/>
      <c r="F25" s="141" t="s">
        <v>106</v>
      </c>
      <c r="G25" s="141"/>
      <c r="H25" s="141" t="s">
        <v>106</v>
      </c>
      <c r="I25" s="162"/>
    </row>
    <row r="26" spans="2:9">
      <c r="B26" s="138" t="s">
        <v>126</v>
      </c>
      <c r="C26" s="183" t="s">
        <v>295</v>
      </c>
      <c r="D26" s="183" t="s">
        <v>294</v>
      </c>
      <c r="E26" s="142"/>
      <c r="F26" s="142" t="s">
        <v>106</v>
      </c>
      <c r="G26" s="142"/>
      <c r="H26" s="142" t="s">
        <v>106</v>
      </c>
      <c r="I26" s="163"/>
    </row>
    <row r="27" spans="2:9">
      <c r="B27" s="140" t="s">
        <v>127</v>
      </c>
      <c r="C27" s="181" t="s">
        <v>296</v>
      </c>
      <c r="D27" s="182" t="s">
        <v>117</v>
      </c>
      <c r="E27" s="141"/>
      <c r="F27" s="141" t="s">
        <v>106</v>
      </c>
      <c r="G27" s="141"/>
      <c r="H27" s="141" t="s">
        <v>106</v>
      </c>
      <c r="I27" s="163"/>
    </row>
    <row r="28" spans="2:9">
      <c r="B28" s="134">
        <v>3</v>
      </c>
      <c r="C28" s="135" t="s">
        <v>302</v>
      </c>
      <c r="D28" s="135" t="s">
        <v>128</v>
      </c>
      <c r="E28" s="136"/>
      <c r="F28" s="136"/>
      <c r="G28" s="136"/>
      <c r="H28" s="136"/>
      <c r="I28" s="160"/>
    </row>
    <row r="29" spans="2:9">
      <c r="B29" s="138" t="s">
        <v>129</v>
      </c>
      <c r="C29" s="184" t="s">
        <v>37</v>
      </c>
      <c r="D29" s="184" t="s">
        <v>130</v>
      </c>
      <c r="E29" s="141"/>
      <c r="F29" s="141" t="s">
        <v>106</v>
      </c>
      <c r="G29" s="141"/>
      <c r="H29" s="141" t="s">
        <v>106</v>
      </c>
      <c r="I29" s="161"/>
    </row>
    <row r="30" spans="2:9">
      <c r="B30" s="140" t="s">
        <v>131</v>
      </c>
      <c r="C30" s="185" t="s">
        <v>303</v>
      </c>
      <c r="D30" s="185" t="s">
        <v>132</v>
      </c>
      <c r="E30" s="141"/>
      <c r="F30" s="141" t="s">
        <v>106</v>
      </c>
      <c r="G30" s="141"/>
      <c r="H30" s="141" t="s">
        <v>106</v>
      </c>
      <c r="I30" s="162"/>
    </row>
    <row r="31" spans="2:9">
      <c r="B31" s="138" t="s">
        <v>133</v>
      </c>
      <c r="C31" s="185" t="s">
        <v>304</v>
      </c>
      <c r="D31" s="185" t="s">
        <v>134</v>
      </c>
      <c r="E31" s="141"/>
      <c r="F31" s="141" t="s">
        <v>106</v>
      </c>
      <c r="G31" s="141"/>
      <c r="H31" s="141" t="s">
        <v>106</v>
      </c>
      <c r="I31" s="162"/>
    </row>
    <row r="32" spans="2:9">
      <c r="B32" s="140" t="s">
        <v>135</v>
      </c>
      <c r="C32" s="185" t="s">
        <v>305</v>
      </c>
      <c r="D32" s="185" t="s">
        <v>136</v>
      </c>
      <c r="E32" s="141"/>
      <c r="F32" s="141" t="s">
        <v>106</v>
      </c>
      <c r="G32" s="141"/>
      <c r="H32" s="141" t="s">
        <v>106</v>
      </c>
      <c r="I32" s="162"/>
    </row>
    <row r="33" spans="2:9">
      <c r="B33" s="138" t="s">
        <v>137</v>
      </c>
      <c r="C33" s="185" t="s">
        <v>307</v>
      </c>
      <c r="D33" s="185" t="s">
        <v>306</v>
      </c>
      <c r="E33" s="141" t="s">
        <v>106</v>
      </c>
      <c r="F33" s="141"/>
      <c r="G33" s="141" t="s">
        <v>106</v>
      </c>
      <c r="H33" s="141"/>
      <c r="I33" s="162"/>
    </row>
    <row r="34" spans="2:9">
      <c r="B34" s="140" t="s">
        <v>138</v>
      </c>
      <c r="C34" s="185" t="s">
        <v>568</v>
      </c>
      <c r="D34" s="185" t="s">
        <v>569</v>
      </c>
      <c r="E34" s="141" t="s">
        <v>106</v>
      </c>
      <c r="F34" s="141"/>
      <c r="G34" s="141" t="s">
        <v>106</v>
      </c>
      <c r="H34" s="141"/>
      <c r="I34" s="162"/>
    </row>
    <row r="35" spans="2:9">
      <c r="B35" s="138" t="s">
        <v>140</v>
      </c>
      <c r="C35" s="185" t="s">
        <v>570</v>
      </c>
      <c r="D35" s="185" t="s">
        <v>139</v>
      </c>
      <c r="E35" s="141"/>
      <c r="F35" s="141" t="s">
        <v>106</v>
      </c>
      <c r="G35" s="141"/>
      <c r="H35" s="141" t="s">
        <v>106</v>
      </c>
      <c r="I35" s="162"/>
    </row>
    <row r="36" spans="2:9">
      <c r="B36" s="140" t="s">
        <v>142</v>
      </c>
      <c r="C36" s="185" t="s">
        <v>571</v>
      </c>
      <c r="D36" s="185" t="s">
        <v>572</v>
      </c>
      <c r="E36" s="141"/>
      <c r="F36" s="141" t="s">
        <v>106</v>
      </c>
      <c r="G36" s="141"/>
      <c r="H36" s="141" t="s">
        <v>106</v>
      </c>
      <c r="I36" s="162"/>
    </row>
    <row r="37" spans="2:9">
      <c r="B37" s="138" t="s">
        <v>143</v>
      </c>
      <c r="C37" s="185" t="s">
        <v>308</v>
      </c>
      <c r="D37" s="185" t="s">
        <v>141</v>
      </c>
      <c r="E37" s="141"/>
      <c r="F37" s="141" t="s">
        <v>106</v>
      </c>
      <c r="G37" s="141"/>
      <c r="H37" s="141" t="s">
        <v>106</v>
      </c>
      <c r="I37" s="162"/>
    </row>
    <row r="38" spans="2:9">
      <c r="B38" s="140" t="s">
        <v>145</v>
      </c>
      <c r="C38" s="185" t="s">
        <v>377</v>
      </c>
      <c r="D38" s="185" t="s">
        <v>378</v>
      </c>
      <c r="E38" s="141"/>
      <c r="F38" s="141" t="s">
        <v>106</v>
      </c>
      <c r="G38" s="141"/>
      <c r="H38" s="141" t="s">
        <v>106</v>
      </c>
      <c r="I38" s="162"/>
    </row>
    <row r="39" spans="2:9">
      <c r="B39" s="138" t="s">
        <v>147</v>
      </c>
      <c r="C39" s="185" t="s">
        <v>309</v>
      </c>
      <c r="D39" s="185" t="s">
        <v>144</v>
      </c>
      <c r="E39" s="141"/>
      <c r="F39" s="141" t="s">
        <v>106</v>
      </c>
      <c r="G39" s="141"/>
      <c r="H39" s="141" t="s">
        <v>106</v>
      </c>
      <c r="I39" s="162"/>
    </row>
    <row r="40" spans="2:9">
      <c r="B40" s="140" t="s">
        <v>149</v>
      </c>
      <c r="C40" s="185" t="s">
        <v>310</v>
      </c>
      <c r="D40" s="185" t="s">
        <v>146</v>
      </c>
      <c r="E40" s="141"/>
      <c r="F40" s="141" t="s">
        <v>106</v>
      </c>
      <c r="G40" s="141"/>
      <c r="H40" s="141" t="s">
        <v>106</v>
      </c>
      <c r="I40" s="164"/>
    </row>
    <row r="41" spans="2:9">
      <c r="B41" s="138" t="s">
        <v>371</v>
      </c>
      <c r="C41" s="185" t="s">
        <v>311</v>
      </c>
      <c r="D41" s="185" t="s">
        <v>148</v>
      </c>
      <c r="E41" s="141"/>
      <c r="F41" s="141" t="s">
        <v>106</v>
      </c>
      <c r="G41" s="141"/>
      <c r="H41" s="141" t="s">
        <v>106</v>
      </c>
      <c r="I41" s="162"/>
    </row>
    <row r="42" spans="2:9">
      <c r="B42" s="140" t="s">
        <v>372</v>
      </c>
      <c r="C42" s="185" t="s">
        <v>312</v>
      </c>
      <c r="D42" s="185" t="s">
        <v>150</v>
      </c>
      <c r="E42" s="141"/>
      <c r="F42" s="141" t="s">
        <v>106</v>
      </c>
      <c r="G42" s="141"/>
      <c r="H42" s="141" t="s">
        <v>106</v>
      </c>
      <c r="I42" s="162"/>
    </row>
    <row r="43" spans="2:9">
      <c r="B43" s="134">
        <v>4</v>
      </c>
      <c r="C43" s="135" t="s">
        <v>313</v>
      </c>
      <c r="D43" s="135" t="s">
        <v>151</v>
      </c>
      <c r="E43" s="136"/>
      <c r="F43" s="136"/>
      <c r="G43" s="136"/>
      <c r="H43" s="136"/>
      <c r="I43" s="160"/>
    </row>
    <row r="44" spans="2:9">
      <c r="B44" s="138" t="s">
        <v>152</v>
      </c>
      <c r="C44" s="184" t="s">
        <v>314</v>
      </c>
      <c r="D44" s="184" t="s">
        <v>153</v>
      </c>
      <c r="E44" s="141"/>
      <c r="F44" s="141" t="s">
        <v>106</v>
      </c>
      <c r="G44" s="141"/>
      <c r="H44" s="141" t="s">
        <v>106</v>
      </c>
      <c r="I44" s="162"/>
    </row>
    <row r="45" spans="2:9">
      <c r="B45" s="138" t="s">
        <v>573</v>
      </c>
      <c r="C45" s="184" t="s">
        <v>574</v>
      </c>
      <c r="D45" s="184" t="s">
        <v>575</v>
      </c>
      <c r="E45" s="141" t="s">
        <v>106</v>
      </c>
      <c r="F45" s="141"/>
      <c r="G45" s="141" t="s">
        <v>106</v>
      </c>
      <c r="H45" s="141"/>
      <c r="I45" s="162"/>
    </row>
    <row r="46" spans="2:9">
      <c r="B46" s="134">
        <v>5</v>
      </c>
      <c r="C46" s="135" t="s">
        <v>315</v>
      </c>
      <c r="D46" s="135" t="s">
        <v>154</v>
      </c>
      <c r="E46" s="136"/>
      <c r="F46" s="136"/>
      <c r="G46" s="136"/>
      <c r="H46" s="136"/>
      <c r="I46" s="160"/>
    </row>
    <row r="47" spans="2:9">
      <c r="B47" s="143" t="s">
        <v>155</v>
      </c>
      <c r="C47" s="185" t="s">
        <v>316</v>
      </c>
      <c r="D47" s="185" t="s">
        <v>156</v>
      </c>
      <c r="E47" s="141"/>
      <c r="F47" s="141" t="s">
        <v>106</v>
      </c>
      <c r="G47" s="141"/>
      <c r="H47" s="141" t="s">
        <v>106</v>
      </c>
      <c r="I47" s="165"/>
    </row>
    <row r="48" spans="2:9">
      <c r="B48" s="143" t="s">
        <v>157</v>
      </c>
      <c r="C48" s="185" t="s">
        <v>317</v>
      </c>
      <c r="D48" s="185" t="s">
        <v>158</v>
      </c>
      <c r="E48" s="141"/>
      <c r="F48" s="141" t="s">
        <v>106</v>
      </c>
      <c r="G48" s="141"/>
      <c r="H48" s="141" t="s">
        <v>106</v>
      </c>
      <c r="I48" s="166"/>
    </row>
    <row r="49" spans="2:9">
      <c r="B49" s="143" t="s">
        <v>159</v>
      </c>
      <c r="C49" s="181" t="s">
        <v>318</v>
      </c>
      <c r="D49" s="181" t="s">
        <v>160</v>
      </c>
      <c r="E49" s="141"/>
      <c r="F49" s="141" t="s">
        <v>106</v>
      </c>
      <c r="G49" s="141"/>
      <c r="H49" s="141" t="s">
        <v>106</v>
      </c>
      <c r="I49" s="166"/>
    </row>
    <row r="50" spans="2:9">
      <c r="B50" s="143" t="s">
        <v>161</v>
      </c>
      <c r="C50" s="186" t="s">
        <v>576</v>
      </c>
      <c r="D50" s="186" t="s">
        <v>162</v>
      </c>
      <c r="E50" s="141"/>
      <c r="F50" s="141" t="s">
        <v>106</v>
      </c>
      <c r="G50" s="141"/>
      <c r="H50" s="141" t="s">
        <v>106</v>
      </c>
      <c r="I50" s="166"/>
    </row>
    <row r="51" spans="2:9">
      <c r="B51" s="134">
        <v>6</v>
      </c>
      <c r="C51" s="135" t="s">
        <v>319</v>
      </c>
      <c r="D51" s="135" t="s">
        <v>163</v>
      </c>
      <c r="E51" s="136"/>
      <c r="F51" s="136"/>
      <c r="G51" s="136"/>
      <c r="H51" s="136"/>
      <c r="I51" s="160"/>
    </row>
    <row r="52" spans="2:9">
      <c r="B52" s="144" t="s">
        <v>164</v>
      </c>
      <c r="C52" s="180" t="s">
        <v>320</v>
      </c>
      <c r="D52" s="180" t="s">
        <v>165</v>
      </c>
      <c r="E52" s="139"/>
      <c r="F52" s="139" t="s">
        <v>106</v>
      </c>
      <c r="G52" s="139" t="s">
        <v>166</v>
      </c>
      <c r="H52" s="139" t="s">
        <v>106</v>
      </c>
      <c r="I52" s="161"/>
    </row>
    <row r="53" spans="2:9">
      <c r="B53" s="144" t="s">
        <v>167</v>
      </c>
      <c r="C53" s="181" t="s">
        <v>321</v>
      </c>
      <c r="D53" s="181" t="s">
        <v>168</v>
      </c>
      <c r="E53" s="139"/>
      <c r="F53" s="139" t="s">
        <v>106</v>
      </c>
      <c r="G53" s="139" t="s">
        <v>166</v>
      </c>
      <c r="H53" s="139" t="s">
        <v>106</v>
      </c>
      <c r="I53" s="162"/>
    </row>
    <row r="54" spans="2:9">
      <c r="B54" s="144" t="s">
        <v>169</v>
      </c>
      <c r="C54" s="181" t="s">
        <v>322</v>
      </c>
      <c r="D54" s="181" t="s">
        <v>170</v>
      </c>
      <c r="E54" s="141"/>
      <c r="F54" s="141" t="s">
        <v>106</v>
      </c>
      <c r="G54" s="141"/>
      <c r="H54" s="141" t="s">
        <v>106</v>
      </c>
      <c r="I54" s="163"/>
    </row>
    <row r="55" spans="2:9">
      <c r="B55" s="144" t="s">
        <v>171</v>
      </c>
      <c r="C55" s="181" t="s">
        <v>361</v>
      </c>
      <c r="D55" s="181" t="s">
        <v>172</v>
      </c>
      <c r="E55" s="141"/>
      <c r="F55" s="139" t="s">
        <v>106</v>
      </c>
      <c r="G55" s="139" t="s">
        <v>166</v>
      </c>
      <c r="H55" s="139" t="s">
        <v>106</v>
      </c>
      <c r="I55" s="163"/>
    </row>
    <row r="56" spans="2:9">
      <c r="B56" s="144" t="s">
        <v>173</v>
      </c>
      <c r="C56" s="180" t="s">
        <v>362</v>
      </c>
      <c r="D56" s="180" t="s">
        <v>174</v>
      </c>
      <c r="E56" s="139"/>
      <c r="F56" s="139" t="s">
        <v>106</v>
      </c>
      <c r="G56" s="139" t="s">
        <v>166</v>
      </c>
      <c r="H56" s="139" t="s">
        <v>106</v>
      </c>
      <c r="I56" s="163"/>
    </row>
    <row r="57" spans="2:9">
      <c r="B57" s="144" t="s">
        <v>175</v>
      </c>
      <c r="C57" s="181" t="s">
        <v>323</v>
      </c>
      <c r="D57" s="181" t="s">
        <v>176</v>
      </c>
      <c r="E57" s="139"/>
      <c r="F57" s="139" t="s">
        <v>106</v>
      </c>
      <c r="G57" s="139" t="s">
        <v>166</v>
      </c>
      <c r="H57" s="139" t="s">
        <v>106</v>
      </c>
      <c r="I57" s="163"/>
    </row>
    <row r="58" spans="2:9">
      <c r="B58" s="144" t="s">
        <v>177</v>
      </c>
      <c r="C58" s="181" t="s">
        <v>325</v>
      </c>
      <c r="D58" s="181" t="s">
        <v>324</v>
      </c>
      <c r="E58" s="139"/>
      <c r="F58" s="139" t="s">
        <v>106</v>
      </c>
      <c r="G58" s="139" t="s">
        <v>166</v>
      </c>
      <c r="H58" s="139" t="s">
        <v>106</v>
      </c>
      <c r="I58" s="163"/>
    </row>
    <row r="59" spans="2:9">
      <c r="B59" s="144" t="s">
        <v>178</v>
      </c>
      <c r="C59" s="183" t="s">
        <v>326</v>
      </c>
      <c r="D59" s="183" t="s">
        <v>179</v>
      </c>
      <c r="E59" s="139"/>
      <c r="F59" s="139" t="s">
        <v>106</v>
      </c>
      <c r="G59" s="139" t="s">
        <v>166</v>
      </c>
      <c r="H59" s="139" t="s">
        <v>106</v>
      </c>
      <c r="I59" s="163"/>
    </row>
    <row r="60" spans="2:9">
      <c r="B60" s="144" t="s">
        <v>180</v>
      </c>
      <c r="C60" s="183" t="s">
        <v>327</v>
      </c>
      <c r="D60" s="183" t="s">
        <v>181</v>
      </c>
      <c r="E60" s="139"/>
      <c r="F60" s="139" t="s">
        <v>106</v>
      </c>
      <c r="G60" s="139" t="s">
        <v>166</v>
      </c>
      <c r="H60" s="139" t="s">
        <v>106</v>
      </c>
      <c r="I60" s="163"/>
    </row>
    <row r="61" spans="2:9">
      <c r="B61" s="144" t="s">
        <v>182</v>
      </c>
      <c r="C61" s="183" t="s">
        <v>328</v>
      </c>
      <c r="D61" s="183" t="s">
        <v>183</v>
      </c>
      <c r="E61" s="145"/>
      <c r="F61" s="139" t="s">
        <v>106</v>
      </c>
      <c r="G61" s="139" t="s">
        <v>166</v>
      </c>
      <c r="H61" s="139" t="s">
        <v>106</v>
      </c>
      <c r="I61" s="163"/>
    </row>
    <row r="62" spans="2:9">
      <c r="B62" s="144" t="s">
        <v>184</v>
      </c>
      <c r="C62" s="183" t="s">
        <v>329</v>
      </c>
      <c r="D62" s="183" t="s">
        <v>185</v>
      </c>
      <c r="E62" s="142"/>
      <c r="F62" s="142" t="s">
        <v>106</v>
      </c>
      <c r="G62" s="142"/>
      <c r="H62" s="142" t="s">
        <v>106</v>
      </c>
      <c r="I62" s="163"/>
    </row>
    <row r="63" spans="2:9">
      <c r="B63" s="134">
        <v>7</v>
      </c>
      <c r="C63" s="135" t="s">
        <v>330</v>
      </c>
      <c r="D63" s="135" t="s">
        <v>186</v>
      </c>
      <c r="E63" s="136"/>
      <c r="F63" s="136"/>
      <c r="G63" s="136"/>
      <c r="H63" s="136"/>
      <c r="I63" s="160"/>
    </row>
    <row r="64" spans="2:9">
      <c r="B64" s="144" t="s">
        <v>187</v>
      </c>
      <c r="C64" s="180" t="s">
        <v>331</v>
      </c>
      <c r="D64" s="180" t="s">
        <v>188</v>
      </c>
      <c r="E64" s="142"/>
      <c r="F64" s="142" t="s">
        <v>106</v>
      </c>
      <c r="G64" s="142"/>
      <c r="H64" s="142" t="s">
        <v>106</v>
      </c>
      <c r="I64" s="163"/>
    </row>
    <row r="65" spans="2:9">
      <c r="B65" s="144" t="s">
        <v>189</v>
      </c>
      <c r="C65" s="180" t="s">
        <v>332</v>
      </c>
      <c r="D65" s="180" t="s">
        <v>190</v>
      </c>
      <c r="E65" s="142"/>
      <c r="F65" s="142" t="s">
        <v>106</v>
      </c>
      <c r="G65" s="142"/>
      <c r="H65" s="142" t="s">
        <v>106</v>
      </c>
      <c r="I65" s="163"/>
    </row>
    <row r="66" spans="2:9">
      <c r="B66" s="144" t="s">
        <v>191</v>
      </c>
      <c r="C66" s="180" t="s">
        <v>333</v>
      </c>
      <c r="D66" s="180" t="s">
        <v>192</v>
      </c>
      <c r="E66" s="142"/>
      <c r="F66" s="142" t="s">
        <v>106</v>
      </c>
      <c r="G66" s="142"/>
      <c r="H66" s="142" t="s">
        <v>106</v>
      </c>
      <c r="I66" s="163"/>
    </row>
    <row r="67" spans="2:9">
      <c r="B67" s="144" t="s">
        <v>193</v>
      </c>
      <c r="C67" s="181" t="s">
        <v>334</v>
      </c>
      <c r="D67" s="181" t="s">
        <v>194</v>
      </c>
      <c r="E67" s="142"/>
      <c r="F67" s="142" t="s">
        <v>106</v>
      </c>
      <c r="G67" s="142"/>
      <c r="H67" s="142" t="s">
        <v>106</v>
      </c>
      <c r="I67" s="163"/>
    </row>
    <row r="68" spans="2:9">
      <c r="B68" s="144" t="s">
        <v>699</v>
      </c>
      <c r="C68" s="222" t="s">
        <v>698</v>
      </c>
      <c r="D68" s="222" t="s">
        <v>700</v>
      </c>
      <c r="E68" s="142"/>
      <c r="F68" s="142" t="s">
        <v>106</v>
      </c>
      <c r="G68" s="142"/>
      <c r="H68" s="142" t="s">
        <v>106</v>
      </c>
      <c r="I68" s="221"/>
    </row>
    <row r="69" spans="2:9">
      <c r="B69" s="134">
        <v>8</v>
      </c>
      <c r="C69" s="135" t="s">
        <v>577</v>
      </c>
      <c r="D69" s="135" t="s">
        <v>195</v>
      </c>
      <c r="E69" s="136"/>
      <c r="F69" s="136"/>
      <c r="G69" s="136"/>
      <c r="H69" s="136"/>
      <c r="I69" s="160"/>
    </row>
    <row r="70" spans="2:9">
      <c r="B70" s="144" t="s">
        <v>196</v>
      </c>
      <c r="C70" s="180" t="s">
        <v>335</v>
      </c>
      <c r="D70" s="180" t="s">
        <v>197</v>
      </c>
      <c r="E70" s="142"/>
      <c r="F70" s="142" t="s">
        <v>106</v>
      </c>
      <c r="G70" s="142"/>
      <c r="H70" s="142" t="s">
        <v>106</v>
      </c>
      <c r="I70" s="177"/>
    </row>
    <row r="71" spans="2:9">
      <c r="B71" s="143" t="s">
        <v>198</v>
      </c>
      <c r="C71" s="181" t="s">
        <v>336</v>
      </c>
      <c r="D71" s="181" t="s">
        <v>199</v>
      </c>
      <c r="E71" s="142"/>
      <c r="F71" s="142" t="s">
        <v>106</v>
      </c>
      <c r="G71" s="142"/>
      <c r="H71" s="142" t="s">
        <v>106</v>
      </c>
      <c r="I71" s="178"/>
    </row>
    <row r="72" spans="2:9">
      <c r="B72" s="144" t="s">
        <v>200</v>
      </c>
      <c r="C72" s="181" t="s">
        <v>337</v>
      </c>
      <c r="D72" s="181" t="s">
        <v>201</v>
      </c>
      <c r="E72" s="142"/>
      <c r="F72" s="142" t="s">
        <v>106</v>
      </c>
      <c r="G72" s="142"/>
      <c r="H72" s="142" t="s">
        <v>106</v>
      </c>
      <c r="I72" s="178"/>
    </row>
    <row r="73" spans="2:9">
      <c r="B73" s="143" t="s">
        <v>202</v>
      </c>
      <c r="C73" s="181" t="s">
        <v>359</v>
      </c>
      <c r="D73" s="181" t="s">
        <v>203</v>
      </c>
      <c r="E73" s="142"/>
      <c r="F73" s="142" t="s">
        <v>106</v>
      </c>
      <c r="G73" s="142"/>
      <c r="H73" s="142" t="s">
        <v>106</v>
      </c>
      <c r="I73" s="178"/>
    </row>
    <row r="74" spans="2:9">
      <c r="B74" s="144" t="s">
        <v>204</v>
      </c>
      <c r="C74" s="181" t="s">
        <v>360</v>
      </c>
      <c r="D74" s="181" t="s">
        <v>205</v>
      </c>
      <c r="E74" s="142"/>
      <c r="F74" s="142" t="s">
        <v>106</v>
      </c>
      <c r="G74" s="142"/>
      <c r="H74" s="142" t="s">
        <v>106</v>
      </c>
      <c r="I74" s="178"/>
    </row>
    <row r="75" spans="2:9">
      <c r="B75" s="143" t="s">
        <v>206</v>
      </c>
      <c r="C75" s="181" t="s">
        <v>338</v>
      </c>
      <c r="D75" s="181" t="s">
        <v>207</v>
      </c>
      <c r="E75" s="142"/>
      <c r="F75" s="142" t="s">
        <v>106</v>
      </c>
      <c r="G75" s="142"/>
      <c r="H75" s="142" t="s">
        <v>106</v>
      </c>
      <c r="I75" s="178"/>
    </row>
    <row r="76" spans="2:9">
      <c r="B76" s="144" t="s">
        <v>208</v>
      </c>
      <c r="C76" s="181" t="s">
        <v>339</v>
      </c>
      <c r="D76" s="181" t="s">
        <v>209</v>
      </c>
      <c r="E76" s="142"/>
      <c r="F76" s="142" t="s">
        <v>106</v>
      </c>
      <c r="G76" s="142"/>
      <c r="H76" s="142" t="s">
        <v>106</v>
      </c>
      <c r="I76" s="178"/>
    </row>
    <row r="77" spans="2:9">
      <c r="B77" s="143" t="s">
        <v>210</v>
      </c>
      <c r="C77" s="183" t="s">
        <v>340</v>
      </c>
      <c r="D77" s="183" t="s">
        <v>211</v>
      </c>
      <c r="E77" s="142"/>
      <c r="F77" s="142" t="s">
        <v>106</v>
      </c>
      <c r="G77" s="142"/>
      <c r="H77" s="142" t="s">
        <v>106</v>
      </c>
      <c r="I77" s="179"/>
    </row>
    <row r="78" spans="2:9">
      <c r="B78" s="134">
        <v>9</v>
      </c>
      <c r="C78" s="135" t="s">
        <v>578</v>
      </c>
      <c r="D78" s="135" t="s">
        <v>579</v>
      </c>
      <c r="E78" s="136"/>
      <c r="F78" s="136"/>
      <c r="G78" s="136"/>
      <c r="H78" s="136"/>
      <c r="I78" s="160"/>
    </row>
    <row r="79" spans="2:9">
      <c r="B79" s="144" t="s">
        <v>212</v>
      </c>
      <c r="C79" s="181" t="s">
        <v>341</v>
      </c>
      <c r="D79" s="181" t="s">
        <v>213</v>
      </c>
      <c r="E79" s="141"/>
      <c r="F79" s="141" t="s">
        <v>106</v>
      </c>
      <c r="G79" s="141"/>
      <c r="H79" s="141" t="s">
        <v>106</v>
      </c>
      <c r="I79" s="161"/>
    </row>
    <row r="80" spans="2:9">
      <c r="B80" s="144" t="s">
        <v>214</v>
      </c>
      <c r="C80" s="182" t="s">
        <v>370</v>
      </c>
      <c r="D80" s="182" t="s">
        <v>215</v>
      </c>
      <c r="E80" s="139"/>
      <c r="F80" s="139" t="s">
        <v>106</v>
      </c>
      <c r="G80" s="139"/>
      <c r="H80" s="139" t="s">
        <v>106</v>
      </c>
      <c r="I80" s="161"/>
    </row>
    <row r="81" spans="2:9">
      <c r="B81" s="144" t="s">
        <v>216</v>
      </c>
      <c r="C81" s="182" t="s">
        <v>342</v>
      </c>
      <c r="D81" s="182" t="s">
        <v>217</v>
      </c>
      <c r="E81" s="139"/>
      <c r="F81" s="139" t="s">
        <v>106</v>
      </c>
      <c r="G81" s="139"/>
      <c r="H81" s="139" t="s">
        <v>106</v>
      </c>
      <c r="I81" s="161"/>
    </row>
    <row r="82" spans="2:9">
      <c r="B82" s="144" t="s">
        <v>218</v>
      </c>
      <c r="C82" s="182" t="s">
        <v>343</v>
      </c>
      <c r="D82" s="182" t="s">
        <v>219</v>
      </c>
      <c r="E82" s="139"/>
      <c r="F82" s="139" t="s">
        <v>106</v>
      </c>
      <c r="G82" s="139"/>
      <c r="H82" s="139" t="s">
        <v>106</v>
      </c>
      <c r="I82" s="161"/>
    </row>
    <row r="83" spans="2:9">
      <c r="B83" s="144" t="s">
        <v>220</v>
      </c>
      <c r="C83" s="182" t="s">
        <v>344</v>
      </c>
      <c r="D83" s="182" t="s">
        <v>221</v>
      </c>
      <c r="E83" s="139"/>
      <c r="F83" s="139" t="s">
        <v>106</v>
      </c>
      <c r="G83" s="139"/>
      <c r="H83" s="139" t="s">
        <v>106</v>
      </c>
      <c r="I83" s="161"/>
    </row>
    <row r="84" spans="2:9">
      <c r="B84" s="144" t="s">
        <v>222</v>
      </c>
      <c r="C84" s="182" t="s">
        <v>345</v>
      </c>
      <c r="D84" s="182" t="s">
        <v>223</v>
      </c>
      <c r="E84" s="139" t="s">
        <v>106</v>
      </c>
      <c r="F84" s="139"/>
      <c r="G84" s="139" t="s">
        <v>106</v>
      </c>
      <c r="H84" s="139"/>
      <c r="I84" s="161"/>
    </row>
    <row r="85" spans="2:9">
      <c r="B85" s="144" t="s">
        <v>224</v>
      </c>
      <c r="C85" s="182" t="s">
        <v>225</v>
      </c>
      <c r="D85" s="182" t="s">
        <v>225</v>
      </c>
      <c r="E85" s="139"/>
      <c r="F85" s="139" t="s">
        <v>106</v>
      </c>
      <c r="G85" s="139"/>
      <c r="H85" s="139" t="s">
        <v>106</v>
      </c>
      <c r="I85" s="161"/>
    </row>
    <row r="86" spans="2:9">
      <c r="B86" s="144" t="s">
        <v>226</v>
      </c>
      <c r="C86" s="182" t="s">
        <v>346</v>
      </c>
      <c r="D86" s="182" t="s">
        <v>227</v>
      </c>
      <c r="E86" s="139"/>
      <c r="F86" s="139" t="s">
        <v>106</v>
      </c>
      <c r="G86" s="139"/>
      <c r="H86" s="139" t="s">
        <v>106</v>
      </c>
      <c r="I86" s="161"/>
    </row>
    <row r="87" spans="2:9">
      <c r="B87" s="144" t="s">
        <v>228</v>
      </c>
      <c r="C87" s="182" t="s">
        <v>347</v>
      </c>
      <c r="D87" s="182" t="s">
        <v>229</v>
      </c>
      <c r="E87" s="139"/>
      <c r="F87" s="139" t="s">
        <v>106</v>
      </c>
      <c r="G87" s="139"/>
      <c r="H87" s="139" t="s">
        <v>106</v>
      </c>
      <c r="I87" s="161"/>
    </row>
    <row r="88" spans="2:9">
      <c r="B88" s="144" t="s">
        <v>230</v>
      </c>
      <c r="C88" s="182" t="s">
        <v>681</v>
      </c>
      <c r="D88" s="182" t="s">
        <v>683</v>
      </c>
      <c r="E88" s="139"/>
      <c r="F88" s="139" t="s">
        <v>106</v>
      </c>
      <c r="G88" s="139"/>
      <c r="H88" s="139" t="s">
        <v>106</v>
      </c>
      <c r="I88" s="161"/>
    </row>
    <row r="89" spans="2:9">
      <c r="B89" s="144" t="s">
        <v>231</v>
      </c>
      <c r="C89" s="182" t="s">
        <v>682</v>
      </c>
      <c r="D89" s="182" t="s">
        <v>232</v>
      </c>
      <c r="E89" s="139"/>
      <c r="F89" s="139" t="s">
        <v>106</v>
      </c>
      <c r="G89" s="139"/>
      <c r="H89" s="139" t="s">
        <v>106</v>
      </c>
      <c r="I89" s="161"/>
    </row>
    <row r="90" spans="2:9">
      <c r="B90" s="144" t="s">
        <v>233</v>
      </c>
      <c r="C90" s="182" t="s">
        <v>580</v>
      </c>
      <c r="D90" s="182" t="s">
        <v>234</v>
      </c>
      <c r="E90" s="139"/>
      <c r="F90" s="139" t="s">
        <v>106</v>
      </c>
      <c r="G90" s="139"/>
      <c r="H90" s="139" t="s">
        <v>106</v>
      </c>
      <c r="I90" s="161"/>
    </row>
    <row r="91" spans="2:9">
      <c r="B91" s="144" t="s">
        <v>235</v>
      </c>
      <c r="C91" s="182" t="s">
        <v>369</v>
      </c>
      <c r="D91" s="182" t="s">
        <v>236</v>
      </c>
      <c r="E91" s="139"/>
      <c r="F91" s="139" t="s">
        <v>106</v>
      </c>
      <c r="G91" s="139"/>
      <c r="H91" s="139" t="s">
        <v>106</v>
      </c>
      <c r="I91" s="161"/>
    </row>
    <row r="92" spans="2:9">
      <c r="B92" s="144" t="s">
        <v>237</v>
      </c>
      <c r="C92" s="181" t="s">
        <v>348</v>
      </c>
      <c r="D92" s="181" t="s">
        <v>238</v>
      </c>
      <c r="E92" s="141" t="s">
        <v>106</v>
      </c>
      <c r="F92" s="141" t="s">
        <v>106</v>
      </c>
      <c r="G92" s="141" t="s">
        <v>106</v>
      </c>
      <c r="H92" s="141" t="s">
        <v>106</v>
      </c>
      <c r="I92" s="161"/>
    </row>
    <row r="93" spans="2:9">
      <c r="B93" s="144" t="s">
        <v>239</v>
      </c>
      <c r="C93" s="181" t="s">
        <v>581</v>
      </c>
      <c r="D93" s="181" t="s">
        <v>582</v>
      </c>
      <c r="E93" s="141"/>
      <c r="F93" s="141" t="s">
        <v>106</v>
      </c>
      <c r="G93" s="141"/>
      <c r="H93" s="141" t="s">
        <v>106</v>
      </c>
      <c r="I93" s="161"/>
    </row>
    <row r="94" spans="2:9">
      <c r="B94" s="144" t="s">
        <v>241</v>
      </c>
      <c r="C94" s="182" t="s">
        <v>349</v>
      </c>
      <c r="D94" s="182" t="s">
        <v>240</v>
      </c>
      <c r="E94" s="141"/>
      <c r="F94" s="141" t="s">
        <v>106</v>
      </c>
      <c r="G94" s="141"/>
      <c r="H94" s="141" t="s">
        <v>106</v>
      </c>
      <c r="I94" s="161"/>
    </row>
    <row r="95" spans="2:9">
      <c r="B95" s="144" t="s">
        <v>242</v>
      </c>
      <c r="C95" s="181" t="s">
        <v>583</v>
      </c>
      <c r="D95" s="181" t="s">
        <v>374</v>
      </c>
      <c r="E95" s="141"/>
      <c r="F95" s="141" t="s">
        <v>106</v>
      </c>
      <c r="G95" s="141"/>
      <c r="H95" s="141" t="s">
        <v>106</v>
      </c>
      <c r="I95" s="162"/>
    </row>
    <row r="96" spans="2:9" ht="41.4">
      <c r="B96" s="144" t="s">
        <v>243</v>
      </c>
      <c r="C96" s="182" t="s">
        <v>685</v>
      </c>
      <c r="D96" s="182" t="s">
        <v>686</v>
      </c>
      <c r="E96" s="141"/>
      <c r="F96" s="141" t="s">
        <v>106</v>
      </c>
      <c r="G96" s="141"/>
      <c r="H96" s="141" t="s">
        <v>106</v>
      </c>
      <c r="I96" s="162"/>
    </row>
    <row r="97" spans="2:9" ht="27.6">
      <c r="B97" s="144" t="s">
        <v>245</v>
      </c>
      <c r="C97" s="182" t="s">
        <v>687</v>
      </c>
      <c r="D97" s="182" t="s">
        <v>688</v>
      </c>
      <c r="E97" s="141"/>
      <c r="F97" s="141" t="s">
        <v>106</v>
      </c>
      <c r="G97" s="141"/>
      <c r="H97" s="141" t="s">
        <v>106</v>
      </c>
      <c r="I97" s="162"/>
    </row>
    <row r="98" spans="2:9" ht="27.6">
      <c r="B98" s="144" t="s">
        <v>247</v>
      </c>
      <c r="C98" s="182" t="s">
        <v>584</v>
      </c>
      <c r="D98" s="182" t="s">
        <v>585</v>
      </c>
      <c r="E98" s="141"/>
      <c r="F98" s="139" t="s">
        <v>106</v>
      </c>
      <c r="G98" s="139"/>
      <c r="H98" s="139" t="s">
        <v>106</v>
      </c>
      <c r="I98" s="167"/>
    </row>
    <row r="99" spans="2:9">
      <c r="B99" s="144" t="s">
        <v>248</v>
      </c>
      <c r="C99" s="182" t="s">
        <v>586</v>
      </c>
      <c r="D99" s="181" t="s">
        <v>244</v>
      </c>
      <c r="E99" s="141"/>
      <c r="F99" s="139" t="s">
        <v>106</v>
      </c>
      <c r="G99" s="139"/>
      <c r="H99" s="139" t="s">
        <v>106</v>
      </c>
      <c r="I99" s="177"/>
    </row>
    <row r="100" spans="2:9">
      <c r="B100" s="144" t="s">
        <v>249</v>
      </c>
      <c r="C100" s="182" t="s">
        <v>587</v>
      </c>
      <c r="D100" s="181" t="s">
        <v>246</v>
      </c>
      <c r="E100" s="142"/>
      <c r="F100" s="139" t="s">
        <v>106</v>
      </c>
      <c r="G100" s="139"/>
      <c r="H100" s="139" t="s">
        <v>106</v>
      </c>
      <c r="I100" s="177"/>
    </row>
    <row r="101" spans="2:9">
      <c r="B101" s="144" t="s">
        <v>633</v>
      </c>
      <c r="C101" s="182" t="s">
        <v>684</v>
      </c>
      <c r="D101" s="181" t="s">
        <v>588</v>
      </c>
      <c r="E101" s="142"/>
      <c r="F101" s="139" t="s">
        <v>106</v>
      </c>
      <c r="G101" s="139"/>
      <c r="H101" s="139" t="s">
        <v>106</v>
      </c>
      <c r="I101" s="177"/>
    </row>
    <row r="102" spans="2:9">
      <c r="B102" s="144" t="s">
        <v>250</v>
      </c>
      <c r="C102" s="182" t="s">
        <v>589</v>
      </c>
      <c r="D102" s="181" t="s">
        <v>590</v>
      </c>
      <c r="E102" s="142"/>
      <c r="F102" s="139" t="s">
        <v>106</v>
      </c>
      <c r="G102" s="139"/>
      <c r="H102" s="139" t="s">
        <v>106</v>
      </c>
      <c r="I102" s="177"/>
    </row>
    <row r="103" spans="2:9">
      <c r="B103" s="144" t="s">
        <v>251</v>
      </c>
      <c r="C103" s="182" t="s">
        <v>634</v>
      </c>
      <c r="D103" s="181" t="s">
        <v>635</v>
      </c>
      <c r="E103" s="142"/>
      <c r="F103" s="139" t="s">
        <v>106</v>
      </c>
      <c r="G103" s="139"/>
      <c r="H103" s="139" t="s">
        <v>106</v>
      </c>
      <c r="I103" s="177"/>
    </row>
    <row r="104" spans="2:9" ht="27.6">
      <c r="B104" s="144" t="s">
        <v>376</v>
      </c>
      <c r="C104" s="182" t="s">
        <v>636</v>
      </c>
      <c r="D104" s="181" t="s">
        <v>637</v>
      </c>
      <c r="E104" s="142"/>
      <c r="F104" s="139" t="s">
        <v>106</v>
      </c>
      <c r="G104" s="139"/>
      <c r="H104" s="139" t="s">
        <v>106</v>
      </c>
      <c r="I104" s="177"/>
    </row>
    <row r="105" spans="2:9">
      <c r="B105" s="144" t="s">
        <v>597</v>
      </c>
      <c r="C105" s="181" t="s">
        <v>638</v>
      </c>
      <c r="D105" s="181" t="s">
        <v>639</v>
      </c>
      <c r="E105" s="142"/>
      <c r="F105" s="139" t="s">
        <v>106</v>
      </c>
      <c r="G105" s="139"/>
      <c r="H105" s="139" t="s">
        <v>106</v>
      </c>
      <c r="I105" s="177"/>
    </row>
    <row r="106" spans="2:9" ht="41.4">
      <c r="B106" s="144" t="s">
        <v>598</v>
      </c>
      <c r="C106" s="182" t="s">
        <v>641</v>
      </c>
      <c r="D106" s="218" t="s">
        <v>640</v>
      </c>
      <c r="E106" s="142"/>
      <c r="F106" s="139" t="s">
        <v>106</v>
      </c>
      <c r="G106" s="139"/>
      <c r="H106" s="139" t="s">
        <v>106</v>
      </c>
      <c r="I106" s="177"/>
    </row>
    <row r="107" spans="2:9">
      <c r="B107" s="144" t="s">
        <v>601</v>
      </c>
      <c r="C107" s="182" t="s">
        <v>662</v>
      </c>
      <c r="D107" s="182" t="s">
        <v>642</v>
      </c>
      <c r="E107" s="142"/>
      <c r="F107" s="139" t="s">
        <v>106</v>
      </c>
      <c r="G107" s="139"/>
      <c r="H107" s="139" t="s">
        <v>106</v>
      </c>
      <c r="I107" s="177"/>
    </row>
    <row r="108" spans="2:9">
      <c r="B108" s="144" t="s">
        <v>602</v>
      </c>
      <c r="C108" s="182" t="s">
        <v>661</v>
      </c>
      <c r="D108" s="182" t="s">
        <v>643</v>
      </c>
      <c r="E108" s="142"/>
      <c r="F108" s="139" t="s">
        <v>106</v>
      </c>
      <c r="G108" s="139"/>
      <c r="H108" s="139" t="s">
        <v>106</v>
      </c>
      <c r="I108" s="177"/>
    </row>
    <row r="109" spans="2:9">
      <c r="B109" s="144" t="s">
        <v>603</v>
      </c>
      <c r="C109" s="220" t="s">
        <v>663</v>
      </c>
      <c r="D109" s="219" t="s">
        <v>644</v>
      </c>
      <c r="E109" s="142"/>
      <c r="F109" s="139" t="s">
        <v>106</v>
      </c>
      <c r="G109" s="139"/>
      <c r="H109" s="139" t="s">
        <v>106</v>
      </c>
      <c r="I109" s="177"/>
    </row>
    <row r="110" spans="2:9">
      <c r="B110" s="144" t="s">
        <v>604</v>
      </c>
      <c r="C110" s="220" t="s">
        <v>664</v>
      </c>
      <c r="D110" s="219" t="s">
        <v>645</v>
      </c>
      <c r="E110" s="142"/>
      <c r="F110" s="139" t="s">
        <v>106</v>
      </c>
      <c r="G110" s="139"/>
      <c r="H110" s="139" t="s">
        <v>106</v>
      </c>
      <c r="I110" s="177"/>
    </row>
    <row r="111" spans="2:9">
      <c r="B111" s="144" t="s">
        <v>605</v>
      </c>
      <c r="C111" s="220" t="s">
        <v>665</v>
      </c>
      <c r="D111" s="219" t="s">
        <v>646</v>
      </c>
      <c r="E111" s="142"/>
      <c r="F111" s="139" t="s">
        <v>106</v>
      </c>
      <c r="G111" s="139"/>
      <c r="H111" s="139" t="s">
        <v>106</v>
      </c>
      <c r="I111" s="177"/>
    </row>
    <row r="112" spans="2:9">
      <c r="B112" s="144" t="s">
        <v>608</v>
      </c>
      <c r="C112" s="220" t="s">
        <v>666</v>
      </c>
      <c r="D112" s="219" t="s">
        <v>647</v>
      </c>
      <c r="E112" s="142"/>
      <c r="F112" s="139" t="s">
        <v>106</v>
      </c>
      <c r="G112" s="139"/>
      <c r="H112" s="139" t="s">
        <v>106</v>
      </c>
      <c r="I112" s="177"/>
    </row>
    <row r="113" spans="2:9">
      <c r="B113" s="144" t="s">
        <v>609</v>
      </c>
      <c r="C113" s="220" t="s">
        <v>667</v>
      </c>
      <c r="D113" s="220" t="s">
        <v>648</v>
      </c>
      <c r="E113" s="142"/>
      <c r="F113" s="139" t="s">
        <v>106</v>
      </c>
      <c r="G113" s="139"/>
      <c r="H113" s="139" t="s">
        <v>106</v>
      </c>
      <c r="I113" s="177"/>
    </row>
    <row r="114" spans="2:9">
      <c r="B114" s="144" t="s">
        <v>612</v>
      </c>
      <c r="C114" s="220" t="s">
        <v>668</v>
      </c>
      <c r="D114" s="220" t="s">
        <v>649</v>
      </c>
      <c r="E114" s="142"/>
      <c r="F114" s="139" t="s">
        <v>106</v>
      </c>
      <c r="G114" s="139"/>
      <c r="H114" s="139" t="s">
        <v>106</v>
      </c>
      <c r="I114" s="177"/>
    </row>
    <row r="115" spans="2:9">
      <c r="B115" s="144" t="s">
        <v>613</v>
      </c>
      <c r="C115" s="220" t="s">
        <v>669</v>
      </c>
      <c r="D115" s="220" t="s">
        <v>650</v>
      </c>
      <c r="E115" s="142"/>
      <c r="F115" s="139" t="s">
        <v>106</v>
      </c>
      <c r="G115" s="139"/>
      <c r="H115" s="139" t="s">
        <v>106</v>
      </c>
      <c r="I115" s="177"/>
    </row>
    <row r="116" spans="2:9">
      <c r="B116" s="144" t="s">
        <v>614</v>
      </c>
      <c r="C116" s="220" t="s">
        <v>670</v>
      </c>
      <c r="D116" s="220" t="s">
        <v>651</v>
      </c>
      <c r="E116" s="142"/>
      <c r="F116" s="139" t="s">
        <v>106</v>
      </c>
      <c r="G116" s="139"/>
      <c r="H116" s="139" t="s">
        <v>106</v>
      </c>
      <c r="I116" s="177"/>
    </row>
    <row r="117" spans="2:9">
      <c r="B117" s="144" t="s">
        <v>615</v>
      </c>
      <c r="C117" s="220" t="s">
        <v>671</v>
      </c>
      <c r="D117" s="220" t="s">
        <v>652</v>
      </c>
      <c r="E117" s="142"/>
      <c r="F117" s="139" t="s">
        <v>106</v>
      </c>
      <c r="G117" s="139"/>
      <c r="H117" s="139" t="s">
        <v>106</v>
      </c>
      <c r="I117" s="177"/>
    </row>
    <row r="118" spans="2:9">
      <c r="B118" s="144" t="s">
        <v>616</v>
      </c>
      <c r="C118" s="220" t="s">
        <v>672</v>
      </c>
      <c r="D118" s="220" t="s">
        <v>653</v>
      </c>
      <c r="E118" s="142"/>
      <c r="F118" s="139" t="s">
        <v>106</v>
      </c>
      <c r="G118" s="139"/>
      <c r="H118" s="139" t="s">
        <v>106</v>
      </c>
      <c r="I118" s="177"/>
    </row>
    <row r="119" spans="2:9">
      <c r="B119" s="144" t="s">
        <v>617</v>
      </c>
      <c r="C119" s="220" t="s">
        <v>701</v>
      </c>
      <c r="D119" s="220" t="s">
        <v>702</v>
      </c>
      <c r="E119" s="142"/>
      <c r="F119" s="139" t="s">
        <v>106</v>
      </c>
      <c r="G119" s="139"/>
      <c r="H119" s="139" t="s">
        <v>106</v>
      </c>
      <c r="I119" s="177"/>
    </row>
    <row r="120" spans="2:9">
      <c r="B120" s="144" t="s">
        <v>618</v>
      </c>
      <c r="C120" s="220" t="s">
        <v>673</v>
      </c>
      <c r="D120" s="220" t="s">
        <v>654</v>
      </c>
      <c r="E120" s="142"/>
      <c r="F120" s="139" t="s">
        <v>106</v>
      </c>
      <c r="G120" s="139"/>
      <c r="H120" s="139" t="s">
        <v>106</v>
      </c>
      <c r="I120" s="177"/>
    </row>
    <row r="121" spans="2:9">
      <c r="B121" s="144" t="s">
        <v>619</v>
      </c>
      <c r="C121" s="220" t="s">
        <v>674</v>
      </c>
      <c r="D121" s="220" t="s">
        <v>655</v>
      </c>
      <c r="E121" s="142"/>
      <c r="F121" s="139" t="s">
        <v>106</v>
      </c>
      <c r="G121" s="139"/>
      <c r="H121" s="139" t="s">
        <v>106</v>
      </c>
      <c r="I121" s="177"/>
    </row>
    <row r="122" spans="2:9">
      <c r="B122" s="144" t="s">
        <v>620</v>
      </c>
      <c r="C122" s="220" t="s">
        <v>675</v>
      </c>
      <c r="D122" s="220" t="s">
        <v>656</v>
      </c>
      <c r="E122" s="142"/>
      <c r="F122" s="139" t="s">
        <v>106</v>
      </c>
      <c r="G122" s="139"/>
      <c r="H122" s="139" t="s">
        <v>106</v>
      </c>
      <c r="I122" s="177"/>
    </row>
    <row r="123" spans="2:9">
      <c r="B123" s="144" t="s">
        <v>621</v>
      </c>
      <c r="C123" s="220" t="s">
        <v>676</v>
      </c>
      <c r="D123" s="220" t="s">
        <v>657</v>
      </c>
      <c r="E123" s="142"/>
      <c r="F123" s="139" t="s">
        <v>106</v>
      </c>
      <c r="G123" s="139"/>
      <c r="H123" s="139" t="s">
        <v>106</v>
      </c>
      <c r="I123" s="177"/>
    </row>
    <row r="124" spans="2:9">
      <c r="B124" s="144" t="s">
        <v>689</v>
      </c>
      <c r="C124" s="220" t="s">
        <v>677</v>
      </c>
      <c r="D124" s="220" t="s">
        <v>658</v>
      </c>
      <c r="E124" s="142"/>
      <c r="F124" s="139" t="s">
        <v>106</v>
      </c>
      <c r="G124" s="139"/>
      <c r="H124" s="139" t="s">
        <v>106</v>
      </c>
      <c r="I124" s="177"/>
    </row>
    <row r="125" spans="2:9">
      <c r="B125" s="144" t="s">
        <v>690</v>
      </c>
      <c r="C125" s="220" t="s">
        <v>678</v>
      </c>
      <c r="D125" s="220" t="s">
        <v>659</v>
      </c>
      <c r="E125" s="142"/>
      <c r="F125" s="139" t="s">
        <v>106</v>
      </c>
      <c r="G125" s="139"/>
      <c r="H125" s="139" t="s">
        <v>106</v>
      </c>
      <c r="I125" s="177"/>
    </row>
    <row r="126" spans="2:9">
      <c r="B126" s="144" t="s">
        <v>691</v>
      </c>
      <c r="C126" s="220" t="s">
        <v>679</v>
      </c>
      <c r="D126" s="220" t="s">
        <v>660</v>
      </c>
      <c r="E126" s="142"/>
      <c r="F126" s="139" t="s">
        <v>106</v>
      </c>
      <c r="G126" s="139"/>
      <c r="H126" s="139" t="s">
        <v>106</v>
      </c>
      <c r="I126" s="177"/>
    </row>
    <row r="127" spans="2:9">
      <c r="B127" s="144" t="s">
        <v>692</v>
      </c>
      <c r="C127" s="182" t="s">
        <v>591</v>
      </c>
      <c r="D127" s="181" t="s">
        <v>592</v>
      </c>
      <c r="E127" s="142"/>
      <c r="F127" s="139" t="s">
        <v>106</v>
      </c>
      <c r="G127" s="139"/>
      <c r="H127" s="139" t="s">
        <v>106</v>
      </c>
      <c r="I127" s="177"/>
    </row>
    <row r="128" spans="2:9">
      <c r="B128" s="144" t="s">
        <v>693</v>
      </c>
      <c r="C128" s="182" t="s">
        <v>593</v>
      </c>
      <c r="D128" s="182" t="s">
        <v>594</v>
      </c>
      <c r="E128" s="142"/>
      <c r="F128" s="139" t="s">
        <v>106</v>
      </c>
      <c r="G128" s="139"/>
      <c r="H128" s="139" t="s">
        <v>106</v>
      </c>
      <c r="I128" s="177"/>
    </row>
    <row r="129" spans="2:9">
      <c r="B129" s="144" t="s">
        <v>694</v>
      </c>
      <c r="C129" s="182" t="s">
        <v>595</v>
      </c>
      <c r="D129" s="181" t="s">
        <v>596</v>
      </c>
      <c r="E129" s="142"/>
      <c r="F129" s="139" t="s">
        <v>106</v>
      </c>
      <c r="G129" s="139"/>
      <c r="H129" s="139" t="s">
        <v>106</v>
      </c>
      <c r="I129" s="177"/>
    </row>
    <row r="130" spans="2:9">
      <c r="B130" s="144" t="s">
        <v>695</v>
      </c>
      <c r="C130" s="182" t="s">
        <v>599</v>
      </c>
      <c r="D130" s="182" t="s">
        <v>600</v>
      </c>
      <c r="E130" s="142"/>
      <c r="F130" s="139" t="s">
        <v>106</v>
      </c>
      <c r="G130" s="139"/>
      <c r="H130" s="139" t="s">
        <v>106</v>
      </c>
      <c r="I130" s="161"/>
    </row>
    <row r="131" spans="2:9">
      <c r="B131" s="144" t="s">
        <v>696</v>
      </c>
      <c r="C131" s="182" t="s">
        <v>606</v>
      </c>
      <c r="D131" s="182" t="s">
        <v>607</v>
      </c>
      <c r="E131" s="141"/>
      <c r="F131" s="139" t="s">
        <v>106</v>
      </c>
      <c r="G131" s="139"/>
      <c r="H131" s="139" t="s">
        <v>106</v>
      </c>
      <c r="I131" s="161"/>
    </row>
    <row r="132" spans="2:9">
      <c r="B132" s="144" t="s">
        <v>697</v>
      </c>
      <c r="C132" s="182" t="s">
        <v>610</v>
      </c>
      <c r="D132" s="182" t="s">
        <v>611</v>
      </c>
      <c r="E132" s="141"/>
      <c r="F132" s="139" t="s">
        <v>106</v>
      </c>
      <c r="G132" s="139"/>
      <c r="H132" s="139" t="s">
        <v>106</v>
      </c>
      <c r="I132" s="161"/>
    </row>
    <row r="133" spans="2:9">
      <c r="B133" s="144" t="s">
        <v>703</v>
      </c>
      <c r="C133" s="182" t="s">
        <v>350</v>
      </c>
      <c r="D133" s="181" t="s">
        <v>252</v>
      </c>
      <c r="E133" s="142" t="s">
        <v>106</v>
      </c>
      <c r="F133" s="139" t="s">
        <v>106</v>
      </c>
      <c r="G133" s="139" t="s">
        <v>106</v>
      </c>
      <c r="H133" s="139" t="s">
        <v>106</v>
      </c>
      <c r="I133" s="177"/>
    </row>
    <row r="134" spans="2:9">
      <c r="B134" s="134">
        <v>10</v>
      </c>
      <c r="C134" s="135" t="s">
        <v>351</v>
      </c>
      <c r="D134" s="135" t="s">
        <v>253</v>
      </c>
      <c r="E134" s="136"/>
      <c r="F134" s="136"/>
      <c r="G134" s="136"/>
      <c r="H134" s="136"/>
      <c r="I134" s="160"/>
    </row>
    <row r="135" spans="2:9" ht="23.4" customHeight="1">
      <c r="B135" s="143" t="s">
        <v>254</v>
      </c>
      <c r="C135" s="182" t="s">
        <v>368</v>
      </c>
      <c r="D135" s="182" t="s">
        <v>255</v>
      </c>
      <c r="E135" s="141"/>
      <c r="F135" s="139" t="s">
        <v>106</v>
      </c>
      <c r="G135" s="139"/>
      <c r="H135" s="139" t="s">
        <v>106</v>
      </c>
      <c r="I135" s="161"/>
    </row>
    <row r="136" spans="2:9">
      <c r="B136" s="143" t="s">
        <v>256</v>
      </c>
      <c r="C136" s="182" t="s">
        <v>367</v>
      </c>
      <c r="D136" s="182" t="s">
        <v>257</v>
      </c>
      <c r="E136" s="141"/>
      <c r="F136" s="139" t="s">
        <v>106</v>
      </c>
      <c r="G136" s="139"/>
      <c r="H136" s="139" t="s">
        <v>106</v>
      </c>
      <c r="I136" s="161"/>
    </row>
    <row r="137" spans="2:9">
      <c r="B137" s="143" t="s">
        <v>258</v>
      </c>
      <c r="C137" s="182" t="s">
        <v>352</v>
      </c>
      <c r="D137" s="182" t="s">
        <v>259</v>
      </c>
      <c r="E137" s="141"/>
      <c r="F137" s="139" t="s">
        <v>106</v>
      </c>
      <c r="G137" s="139"/>
      <c r="H137" s="139" t="s">
        <v>106</v>
      </c>
      <c r="I137" s="161"/>
    </row>
    <row r="138" spans="2:9">
      <c r="B138" s="143" t="s">
        <v>260</v>
      </c>
      <c r="C138" s="182" t="s">
        <v>353</v>
      </c>
      <c r="D138" s="182" t="s">
        <v>261</v>
      </c>
      <c r="E138" s="141"/>
      <c r="F138" s="139" t="s">
        <v>106</v>
      </c>
      <c r="G138" s="139"/>
      <c r="H138" s="139" t="s">
        <v>106</v>
      </c>
      <c r="I138" s="161"/>
    </row>
    <row r="139" spans="2:9">
      <c r="B139" s="143" t="s">
        <v>262</v>
      </c>
      <c r="C139" s="182" t="s">
        <v>354</v>
      </c>
      <c r="D139" s="182" t="s">
        <v>263</v>
      </c>
      <c r="E139" s="141"/>
      <c r="F139" s="139" t="s">
        <v>106</v>
      </c>
      <c r="G139" s="141"/>
      <c r="H139" s="139" t="s">
        <v>106</v>
      </c>
      <c r="I139" s="161"/>
    </row>
    <row r="140" spans="2:9" ht="15" thickBot="1">
      <c r="B140" s="202" t="s">
        <v>264</v>
      </c>
      <c r="C140" s="187" t="s">
        <v>355</v>
      </c>
      <c r="D140" s="188" t="s">
        <v>265</v>
      </c>
      <c r="E140" s="146"/>
      <c r="F140" s="146" t="s">
        <v>106</v>
      </c>
      <c r="G140" s="146"/>
      <c r="H140" s="146" t="s">
        <v>106</v>
      </c>
      <c r="I140" s="168"/>
    </row>
    <row r="143" spans="2:9">
      <c r="C143" s="215" t="s">
        <v>680</v>
      </c>
    </row>
    <row r="144" spans="2:9">
      <c r="C144" s="215" t="s">
        <v>622</v>
      </c>
    </row>
  </sheetData>
  <mergeCells count="6">
    <mergeCell ref="I4:I5"/>
    <mergeCell ref="B4:B5"/>
    <mergeCell ref="D4:D5"/>
    <mergeCell ref="C4:C5"/>
    <mergeCell ref="E4:F4"/>
    <mergeCell ref="G4:H4"/>
  </mergeCells>
  <phoneticPr fontId="3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DFB29-8CA4-4F51-B13B-7E4D191991F0}">
  <sheetPr>
    <tabColor rgb="FF00B050"/>
  </sheetPr>
  <dimension ref="A5:AE98"/>
  <sheetViews>
    <sheetView showGridLines="0" topLeftCell="A58" zoomScale="55" zoomScaleNormal="55" workbookViewId="0">
      <selection activeCell="S65" sqref="S65"/>
    </sheetView>
  </sheetViews>
  <sheetFormatPr defaultRowHeight="14.4"/>
  <cols>
    <col min="4" max="4" width="9.33203125" customWidth="1"/>
    <col min="5" max="5" width="11.5546875" customWidth="1"/>
    <col min="19" max="20" width="8.88671875" customWidth="1"/>
    <col min="21" max="21" width="1.21875" customWidth="1"/>
    <col min="22" max="23" width="8.88671875" hidden="1" customWidth="1"/>
    <col min="24" max="24" width="0.44140625" hidden="1" customWidth="1"/>
    <col min="25" max="25" width="6.21875" customWidth="1"/>
    <col min="26" max="26" width="54.77734375" customWidth="1"/>
    <col min="27" max="27" width="40" customWidth="1"/>
  </cols>
  <sheetData>
    <row r="5" spans="1:31" ht="31.2">
      <c r="G5" s="132" t="s">
        <v>363</v>
      </c>
    </row>
    <row r="7" spans="1:31" ht="25.8">
      <c r="Y7" s="336" t="s">
        <v>813</v>
      </c>
      <c r="Z7" s="337"/>
      <c r="AA7" s="337"/>
      <c r="AB7" s="338"/>
      <c r="AC7" s="338"/>
      <c r="AD7" s="338"/>
      <c r="AE7" s="338"/>
    </row>
    <row r="8" spans="1:31" ht="25.8">
      <c r="Y8" s="337"/>
      <c r="Z8" s="337"/>
      <c r="AA8" s="337"/>
      <c r="AB8" s="338"/>
      <c r="AC8" s="338"/>
      <c r="AD8" s="338"/>
      <c r="AE8" s="338"/>
    </row>
    <row r="9" spans="1:31" ht="25.8">
      <c r="A9" s="329"/>
      <c r="B9" s="329"/>
      <c r="C9" s="329"/>
      <c r="D9" s="329"/>
      <c r="E9" s="329"/>
      <c r="F9" s="329"/>
      <c r="G9" s="329"/>
      <c r="H9" s="329"/>
      <c r="I9" s="329"/>
      <c r="J9" s="329"/>
      <c r="Y9" s="339" t="s">
        <v>814</v>
      </c>
      <c r="Z9" s="339" t="s">
        <v>815</v>
      </c>
      <c r="AA9" s="339" t="s">
        <v>816</v>
      </c>
      <c r="AB9" s="338"/>
      <c r="AC9" s="338"/>
      <c r="AD9" s="338"/>
      <c r="AE9" s="338"/>
    </row>
    <row r="10" spans="1:31" ht="25.8">
      <c r="A10" s="329" t="s">
        <v>774</v>
      </c>
      <c r="B10" s="329"/>
      <c r="C10" s="329"/>
      <c r="D10" s="329"/>
      <c r="E10" s="329"/>
      <c r="F10" s="329"/>
      <c r="G10" s="329"/>
      <c r="H10" s="329"/>
      <c r="I10" s="329"/>
      <c r="J10" s="329"/>
      <c r="Y10" s="340">
        <v>1</v>
      </c>
      <c r="Z10" s="340" t="s">
        <v>817</v>
      </c>
      <c r="AA10" s="340">
        <v>1</v>
      </c>
      <c r="AB10" s="338"/>
      <c r="AC10" s="338"/>
      <c r="AD10" s="338"/>
      <c r="AE10" s="338"/>
    </row>
    <row r="11" spans="1:31" ht="25.8">
      <c r="A11" s="329" t="s">
        <v>775</v>
      </c>
      <c r="B11" s="329"/>
      <c r="C11" s="329"/>
      <c r="D11" s="329"/>
      <c r="E11" s="329"/>
      <c r="F11" s="329"/>
      <c r="G11" s="329"/>
      <c r="H11" s="329"/>
      <c r="I11" s="329"/>
      <c r="J11" s="329"/>
      <c r="Y11" s="340">
        <v>2</v>
      </c>
      <c r="Z11" s="340" t="s">
        <v>818</v>
      </c>
      <c r="AA11" s="340">
        <v>2</v>
      </c>
      <c r="AB11" s="338"/>
      <c r="AC11" s="338"/>
      <c r="AD11" s="338"/>
      <c r="AE11" s="338"/>
    </row>
    <row r="12" spans="1:31" ht="25.8">
      <c r="A12" s="329" t="s">
        <v>776</v>
      </c>
      <c r="B12" s="329"/>
      <c r="C12" s="329"/>
      <c r="D12" s="329"/>
      <c r="E12" s="329"/>
      <c r="F12" s="329"/>
      <c r="G12" s="329"/>
      <c r="H12" s="329"/>
      <c r="I12" s="329"/>
      <c r="J12" s="329"/>
      <c r="Y12" s="340">
        <v>3</v>
      </c>
      <c r="Z12" s="340" t="s">
        <v>46</v>
      </c>
      <c r="AA12" s="340">
        <v>1</v>
      </c>
      <c r="AB12" s="338"/>
      <c r="AC12" s="338"/>
      <c r="AD12" s="338"/>
      <c r="AE12" s="338"/>
    </row>
    <row r="13" spans="1:31" ht="25.8">
      <c r="A13" s="329" t="s">
        <v>777</v>
      </c>
      <c r="B13" s="329"/>
      <c r="C13" s="329"/>
      <c r="D13" s="329"/>
      <c r="E13" s="329"/>
      <c r="F13" s="329"/>
      <c r="G13" s="329"/>
      <c r="H13" s="329"/>
      <c r="I13" s="329"/>
      <c r="J13" s="329"/>
      <c r="Y13" s="340">
        <v>4</v>
      </c>
      <c r="Z13" s="340" t="s">
        <v>47</v>
      </c>
      <c r="AA13" s="340">
        <v>1</v>
      </c>
      <c r="AB13" s="338"/>
      <c r="AC13" s="338"/>
      <c r="AD13" s="338"/>
      <c r="AE13" s="338"/>
    </row>
    <row r="14" spans="1:31" ht="51.6">
      <c r="A14" s="329" t="s">
        <v>778</v>
      </c>
      <c r="B14" s="329"/>
      <c r="C14" s="329"/>
      <c r="D14" s="329"/>
      <c r="E14" s="329"/>
      <c r="F14" s="329"/>
      <c r="G14" s="329"/>
      <c r="H14" s="329"/>
      <c r="I14" s="329"/>
      <c r="J14" s="329"/>
      <c r="Y14" s="340">
        <v>5</v>
      </c>
      <c r="Z14" s="340" t="s">
        <v>819</v>
      </c>
      <c r="AA14" s="340">
        <v>4</v>
      </c>
      <c r="AB14" s="338"/>
      <c r="AC14" s="338"/>
      <c r="AD14" s="338"/>
      <c r="AE14" s="338"/>
    </row>
    <row r="15" spans="1:31" ht="51.6">
      <c r="A15" s="329" t="s">
        <v>779</v>
      </c>
      <c r="B15" s="329"/>
      <c r="C15" s="329"/>
      <c r="D15" s="329"/>
      <c r="E15" s="329"/>
      <c r="F15" s="329"/>
      <c r="G15" s="329"/>
      <c r="H15" s="329"/>
      <c r="I15" s="329"/>
      <c r="J15" s="329"/>
      <c r="Y15" s="340">
        <v>6</v>
      </c>
      <c r="Z15" s="340" t="s">
        <v>820</v>
      </c>
      <c r="AA15" s="340">
        <v>2</v>
      </c>
      <c r="AB15" s="338"/>
      <c r="AC15" s="338"/>
      <c r="AD15" s="338"/>
      <c r="AE15" s="338"/>
    </row>
    <row r="16" spans="1:31" ht="51.6">
      <c r="A16" s="329" t="s">
        <v>780</v>
      </c>
      <c r="B16" s="329"/>
      <c r="C16" s="329"/>
      <c r="D16" s="329"/>
      <c r="E16" s="329"/>
      <c r="F16" s="329"/>
      <c r="G16" s="329"/>
      <c r="H16" s="329"/>
      <c r="I16" s="329"/>
      <c r="J16" s="329"/>
      <c r="Y16" s="340">
        <v>7</v>
      </c>
      <c r="Z16" s="340" t="s">
        <v>821</v>
      </c>
      <c r="AA16" s="340">
        <v>1</v>
      </c>
      <c r="AB16" s="338"/>
      <c r="AC16" s="338"/>
      <c r="AD16" s="338"/>
      <c r="AE16" s="338"/>
    </row>
    <row r="17" spans="1:31" ht="51.6">
      <c r="A17" s="329" t="s">
        <v>781</v>
      </c>
      <c r="B17" s="329"/>
      <c r="C17" s="329"/>
      <c r="D17" s="329"/>
      <c r="E17" s="329"/>
      <c r="F17" s="329"/>
      <c r="G17" s="329"/>
      <c r="H17" s="329"/>
      <c r="I17" s="329"/>
      <c r="J17" s="329"/>
      <c r="Y17" s="340">
        <v>8</v>
      </c>
      <c r="Z17" s="340" t="s">
        <v>822</v>
      </c>
      <c r="AA17" s="340">
        <v>1</v>
      </c>
      <c r="AB17" s="338"/>
      <c r="AC17" s="338"/>
      <c r="AD17" s="338"/>
      <c r="AE17" s="338"/>
    </row>
    <row r="18" spans="1:31" ht="25.8">
      <c r="A18" s="329" t="s">
        <v>782</v>
      </c>
      <c r="B18" s="329"/>
      <c r="C18" s="329"/>
      <c r="D18" s="329"/>
      <c r="E18" s="329"/>
      <c r="F18" s="329"/>
      <c r="G18" s="329"/>
      <c r="H18" s="329"/>
      <c r="I18" s="329"/>
      <c r="J18" s="329"/>
      <c r="Y18" s="340">
        <v>9</v>
      </c>
      <c r="Z18" s="340" t="s">
        <v>823</v>
      </c>
      <c r="AA18" s="340">
        <v>2</v>
      </c>
      <c r="AB18" s="338"/>
      <c r="AC18" s="338"/>
      <c r="AD18" s="338"/>
      <c r="AE18" s="338"/>
    </row>
    <row r="19" spans="1:31" ht="51.6">
      <c r="A19" s="329" t="s">
        <v>783</v>
      </c>
      <c r="B19" s="329"/>
      <c r="C19" s="329"/>
      <c r="D19" s="329"/>
      <c r="E19" s="329"/>
      <c r="F19" s="329"/>
      <c r="G19" s="329"/>
      <c r="H19" s="329"/>
      <c r="I19" s="329"/>
      <c r="J19" s="329"/>
      <c r="Y19" s="340">
        <v>10</v>
      </c>
      <c r="Z19" s="340" t="s">
        <v>824</v>
      </c>
      <c r="AA19" s="340">
        <v>1</v>
      </c>
      <c r="AB19" s="338"/>
      <c r="AC19" s="338"/>
      <c r="AD19" s="338"/>
      <c r="AE19" s="338"/>
    </row>
    <row r="20" spans="1:31" ht="51.6">
      <c r="A20" s="329" t="s">
        <v>784</v>
      </c>
      <c r="B20" s="329"/>
      <c r="C20" s="329"/>
      <c r="D20" s="329"/>
      <c r="E20" s="329"/>
      <c r="F20" s="329"/>
      <c r="G20" s="329"/>
      <c r="H20" s="329"/>
      <c r="I20" s="329"/>
      <c r="J20" s="329"/>
      <c r="Y20" s="340">
        <v>11</v>
      </c>
      <c r="Z20" s="340" t="s">
        <v>825</v>
      </c>
      <c r="AA20" s="340">
        <v>1</v>
      </c>
      <c r="AB20" s="338"/>
      <c r="AC20" s="338"/>
      <c r="AD20" s="338"/>
      <c r="AE20" s="338"/>
    </row>
    <row r="21" spans="1:31" ht="25.8">
      <c r="A21" s="329" t="s">
        <v>785</v>
      </c>
      <c r="B21" s="329"/>
      <c r="C21" s="329"/>
      <c r="D21" s="329"/>
      <c r="E21" s="329"/>
      <c r="F21" s="329"/>
      <c r="G21" s="329"/>
      <c r="H21" s="329"/>
      <c r="I21" s="329"/>
      <c r="J21" s="329"/>
      <c r="Y21" s="340">
        <v>12</v>
      </c>
      <c r="Z21" s="340" t="s">
        <v>826</v>
      </c>
      <c r="AA21" s="340">
        <v>1</v>
      </c>
      <c r="AB21" s="338"/>
      <c r="AC21" s="338"/>
      <c r="AD21" s="338"/>
      <c r="AE21" s="338"/>
    </row>
    <row r="22" spans="1:31" ht="25.8">
      <c r="A22" s="329" t="s">
        <v>777</v>
      </c>
      <c r="B22" s="329"/>
      <c r="C22" s="329"/>
      <c r="D22" s="329"/>
      <c r="E22" s="329"/>
      <c r="F22" s="329"/>
      <c r="G22" s="329"/>
      <c r="H22" s="329"/>
      <c r="I22" s="329"/>
      <c r="J22" s="329"/>
      <c r="Y22" s="340">
        <v>13</v>
      </c>
      <c r="Z22" s="340" t="s">
        <v>827</v>
      </c>
      <c r="AA22" s="340">
        <v>1</v>
      </c>
      <c r="AB22" s="338"/>
      <c r="AC22" s="338"/>
      <c r="AD22" s="338"/>
      <c r="AE22" s="338"/>
    </row>
    <row r="23" spans="1:31" ht="25.8">
      <c r="A23" s="329" t="s">
        <v>786</v>
      </c>
      <c r="B23" s="329"/>
      <c r="C23" s="329"/>
      <c r="D23" s="329"/>
      <c r="E23" s="329"/>
      <c r="F23" s="329"/>
      <c r="G23" s="329"/>
      <c r="H23" s="329"/>
      <c r="I23" s="329"/>
      <c r="J23" s="329"/>
      <c r="Y23" s="340">
        <v>14</v>
      </c>
      <c r="Z23" s="340" t="s">
        <v>828</v>
      </c>
      <c r="AA23" s="340">
        <v>1</v>
      </c>
      <c r="AB23" s="338"/>
      <c r="AC23" s="338"/>
      <c r="AD23" s="338"/>
      <c r="AE23" s="338"/>
    </row>
    <row r="24" spans="1:31" ht="25.8">
      <c r="A24" s="329" t="s">
        <v>777</v>
      </c>
      <c r="B24" s="329"/>
      <c r="C24" s="329"/>
      <c r="D24" s="329"/>
      <c r="E24" s="329"/>
      <c r="F24" s="329"/>
      <c r="G24" s="329"/>
      <c r="H24" s="329"/>
      <c r="I24" s="329"/>
      <c r="J24" s="329"/>
      <c r="Y24" s="340">
        <v>15</v>
      </c>
      <c r="Z24" s="340" t="s">
        <v>829</v>
      </c>
      <c r="AA24" s="340">
        <v>1</v>
      </c>
      <c r="AB24" s="338"/>
      <c r="AC24" s="338"/>
      <c r="AD24" s="338"/>
      <c r="AE24" s="338"/>
    </row>
    <row r="25" spans="1:31" ht="25.8">
      <c r="A25" s="329" t="s">
        <v>778</v>
      </c>
      <c r="B25" s="329"/>
      <c r="C25" s="329"/>
      <c r="D25" s="329"/>
      <c r="E25" s="329"/>
      <c r="F25" s="329"/>
      <c r="G25" s="329"/>
      <c r="H25" s="329"/>
      <c r="I25" s="329"/>
      <c r="J25" s="329"/>
      <c r="Y25" s="340">
        <v>16</v>
      </c>
      <c r="Z25" s="340" t="s">
        <v>830</v>
      </c>
      <c r="AA25" s="340">
        <v>1</v>
      </c>
      <c r="AB25" s="338"/>
      <c r="AC25" s="338"/>
      <c r="AD25" s="338"/>
      <c r="AE25" s="338"/>
    </row>
    <row r="26" spans="1:31" ht="25.8">
      <c r="A26" s="329" t="s">
        <v>787</v>
      </c>
      <c r="B26" s="329"/>
      <c r="C26" s="329"/>
      <c r="D26" s="329"/>
      <c r="E26" s="329"/>
      <c r="F26" s="329"/>
      <c r="G26" s="329"/>
      <c r="H26" s="329"/>
      <c r="I26" s="329"/>
      <c r="J26" s="329"/>
      <c r="Y26" s="340">
        <v>17</v>
      </c>
      <c r="Z26" s="340" t="s">
        <v>831</v>
      </c>
      <c r="AA26" s="340">
        <v>1</v>
      </c>
      <c r="AB26" s="338"/>
      <c r="AC26" s="338"/>
      <c r="AD26" s="338"/>
      <c r="AE26" s="338"/>
    </row>
    <row r="27" spans="1:31" ht="25.8">
      <c r="A27" s="329" t="s">
        <v>788</v>
      </c>
      <c r="B27" s="329"/>
      <c r="C27" s="329"/>
      <c r="D27" s="329"/>
      <c r="E27" s="329"/>
      <c r="F27" s="329"/>
      <c r="G27" s="329"/>
      <c r="H27" s="329"/>
      <c r="I27" s="329"/>
      <c r="J27" s="329"/>
      <c r="Y27" s="340">
        <v>18</v>
      </c>
      <c r="Z27" s="340" t="s">
        <v>832</v>
      </c>
      <c r="AA27" s="340">
        <v>1</v>
      </c>
      <c r="AB27" s="338"/>
      <c r="AC27" s="338"/>
      <c r="AD27" s="338"/>
      <c r="AE27" s="338"/>
    </row>
    <row r="28" spans="1:31" ht="25.8">
      <c r="A28" s="331" t="s">
        <v>789</v>
      </c>
      <c r="B28" s="331"/>
      <c r="C28" s="331"/>
      <c r="D28" s="331"/>
      <c r="E28" s="331"/>
      <c r="F28" s="331"/>
      <c r="G28" s="331"/>
      <c r="H28" s="331"/>
      <c r="I28" s="331"/>
      <c r="J28" s="331"/>
      <c r="K28" s="133"/>
      <c r="L28" s="133"/>
      <c r="M28" s="133"/>
      <c r="N28" s="133"/>
      <c r="O28" s="133"/>
      <c r="P28" s="133"/>
      <c r="Q28" s="133"/>
      <c r="R28" s="133"/>
      <c r="S28" s="133"/>
      <c r="T28" s="133"/>
      <c r="U28" s="133"/>
      <c r="V28" s="133"/>
      <c r="W28" s="133"/>
      <c r="X28" s="133"/>
      <c r="Y28" s="340">
        <v>19</v>
      </c>
      <c r="Z28" s="340" t="s">
        <v>833</v>
      </c>
      <c r="AA28" s="340">
        <v>1</v>
      </c>
      <c r="AB28" s="338"/>
      <c r="AC28" s="338"/>
      <c r="AD28" s="338"/>
      <c r="AE28" s="338"/>
    </row>
    <row r="29" spans="1:31" ht="25.8">
      <c r="A29" s="329" t="s">
        <v>790</v>
      </c>
      <c r="B29" s="329"/>
      <c r="C29" s="329"/>
      <c r="D29" s="329"/>
      <c r="E29" s="329"/>
      <c r="F29" s="329"/>
      <c r="G29" s="329"/>
      <c r="H29" s="329"/>
      <c r="I29" s="329"/>
      <c r="J29" s="329"/>
      <c r="Y29" s="337"/>
      <c r="Z29" s="337"/>
      <c r="AA29" s="337"/>
      <c r="AB29" s="338"/>
      <c r="AC29" s="338"/>
      <c r="AD29" s="338"/>
      <c r="AE29" s="338"/>
    </row>
    <row r="30" spans="1:31" ht="25.8">
      <c r="A30" s="329" t="s">
        <v>791</v>
      </c>
      <c r="B30" s="329"/>
      <c r="C30" s="329"/>
      <c r="D30" s="329"/>
      <c r="E30" s="329"/>
      <c r="F30" s="329"/>
      <c r="G30" s="329"/>
      <c r="H30" s="329"/>
      <c r="I30" s="329"/>
      <c r="J30" s="329"/>
      <c r="Y30" s="341" t="s">
        <v>834</v>
      </c>
      <c r="Z30" s="337"/>
      <c r="AA30" s="337"/>
      <c r="AB30" s="338"/>
      <c r="AC30" s="338"/>
      <c r="AD30" s="338"/>
      <c r="AE30" s="338"/>
    </row>
    <row r="31" spans="1:31" ht="21">
      <c r="A31" s="329" t="s">
        <v>792</v>
      </c>
      <c r="B31" s="329"/>
      <c r="C31" s="329"/>
      <c r="D31" s="329"/>
      <c r="E31" s="329"/>
      <c r="F31" s="329"/>
      <c r="G31" s="329"/>
      <c r="H31" s="329"/>
      <c r="I31" s="329"/>
      <c r="J31" s="329"/>
    </row>
    <row r="32" spans="1:31" ht="21">
      <c r="A32" s="329" t="s">
        <v>793</v>
      </c>
      <c r="B32" s="329"/>
      <c r="C32" s="329"/>
      <c r="D32" s="329"/>
      <c r="E32" s="329"/>
      <c r="F32" s="329"/>
      <c r="G32" s="329"/>
      <c r="H32" s="329"/>
      <c r="I32" s="329"/>
      <c r="J32" s="329"/>
    </row>
    <row r="33" spans="1:10" ht="21">
      <c r="A33" s="329" t="s">
        <v>794</v>
      </c>
      <c r="B33" s="329"/>
      <c r="C33" s="329"/>
      <c r="D33" s="329"/>
      <c r="E33" s="329"/>
      <c r="F33" s="329"/>
      <c r="G33" s="329"/>
      <c r="H33" s="329"/>
      <c r="I33" s="329"/>
      <c r="J33" s="329"/>
    </row>
    <row r="34" spans="1:10" ht="21">
      <c r="A34" s="329" t="s">
        <v>795</v>
      </c>
      <c r="B34" s="329"/>
      <c r="C34" s="329"/>
      <c r="D34" s="329"/>
      <c r="E34" s="329"/>
      <c r="F34" s="329"/>
      <c r="G34" s="330"/>
      <c r="H34" s="329"/>
      <c r="I34" s="329"/>
      <c r="J34" s="329"/>
    </row>
    <row r="35" spans="1:10" ht="21">
      <c r="A35" s="329" t="s">
        <v>796</v>
      </c>
      <c r="B35" s="329"/>
      <c r="C35" s="329"/>
      <c r="D35" s="329"/>
      <c r="E35" s="329"/>
      <c r="F35" s="329"/>
      <c r="G35" s="329"/>
      <c r="H35" s="329"/>
      <c r="I35" s="329"/>
      <c r="J35" s="329"/>
    </row>
    <row r="36" spans="1:10" ht="21">
      <c r="A36" s="329" t="s">
        <v>797</v>
      </c>
      <c r="B36" s="329"/>
      <c r="C36" s="329"/>
      <c r="D36" s="329"/>
      <c r="E36" s="329"/>
      <c r="F36" s="329"/>
      <c r="G36" s="329"/>
      <c r="H36" s="329"/>
      <c r="I36" s="329"/>
      <c r="J36" s="329"/>
    </row>
    <row r="37" spans="1:10" ht="21">
      <c r="A37" s="329" t="s">
        <v>798</v>
      </c>
      <c r="B37" s="329"/>
      <c r="C37" s="329"/>
      <c r="D37" s="329"/>
      <c r="E37" s="329"/>
      <c r="F37" s="329"/>
      <c r="G37" s="329"/>
      <c r="H37" s="329"/>
      <c r="I37" s="329"/>
      <c r="J37" s="329"/>
    </row>
    <row r="38" spans="1:10" ht="21">
      <c r="A38" s="329" t="s">
        <v>799</v>
      </c>
      <c r="B38" s="329"/>
      <c r="C38" s="329"/>
      <c r="D38" s="329"/>
      <c r="E38" s="329"/>
      <c r="F38" s="329"/>
      <c r="G38" s="329"/>
      <c r="H38" s="329"/>
      <c r="I38" s="329"/>
      <c r="J38" s="329"/>
    </row>
    <row r="39" spans="1:10" ht="21">
      <c r="A39" s="329" t="s">
        <v>800</v>
      </c>
      <c r="B39" s="329"/>
      <c r="C39" s="329"/>
      <c r="D39" s="329"/>
      <c r="E39" s="329"/>
      <c r="F39" s="329"/>
      <c r="G39" s="329"/>
      <c r="H39" s="329"/>
      <c r="I39" s="329"/>
      <c r="J39" s="329"/>
    </row>
    <row r="40" spans="1:10" ht="21">
      <c r="A40" s="329" t="s">
        <v>801</v>
      </c>
      <c r="B40" s="329"/>
      <c r="C40" s="329"/>
      <c r="D40" s="329"/>
      <c r="E40" s="329"/>
      <c r="F40" s="329"/>
      <c r="G40" s="329"/>
      <c r="H40" s="329"/>
      <c r="I40" s="329"/>
      <c r="J40" s="329"/>
    </row>
    <row r="41" spans="1:10" ht="21">
      <c r="A41" s="329" t="s">
        <v>802</v>
      </c>
      <c r="B41" s="329"/>
      <c r="C41" s="329"/>
      <c r="D41" s="329"/>
      <c r="E41" s="329"/>
      <c r="F41" s="329"/>
      <c r="G41" s="329"/>
      <c r="H41" s="329"/>
      <c r="I41" s="329"/>
      <c r="J41" s="329"/>
    </row>
    <row r="42" spans="1:10" ht="21">
      <c r="A42" s="329" t="s">
        <v>803</v>
      </c>
      <c r="B42" s="329"/>
      <c r="C42" s="329"/>
      <c r="D42" s="329"/>
      <c r="E42" s="329"/>
      <c r="F42" s="329"/>
      <c r="G42" s="329"/>
      <c r="H42" s="329"/>
      <c r="I42" s="329"/>
      <c r="J42" s="329"/>
    </row>
    <row r="43" spans="1:10" ht="21">
      <c r="A43" s="329" t="s">
        <v>804</v>
      </c>
      <c r="B43" s="329"/>
      <c r="C43" s="329"/>
      <c r="D43" s="329"/>
      <c r="E43" s="329"/>
      <c r="F43" s="329"/>
      <c r="G43" s="329"/>
      <c r="H43" s="329"/>
      <c r="I43" s="329"/>
      <c r="J43" s="329"/>
    </row>
    <row r="44" spans="1:10" ht="21">
      <c r="A44" s="329" t="s">
        <v>805</v>
      </c>
      <c r="B44" s="329"/>
      <c r="C44" s="329"/>
      <c r="D44" s="329"/>
      <c r="E44" s="329"/>
      <c r="F44" s="329"/>
      <c r="G44" s="329"/>
      <c r="H44" s="329"/>
      <c r="I44" s="329"/>
      <c r="J44" s="329"/>
    </row>
    <row r="45" spans="1:10" ht="21">
      <c r="A45" s="329" t="s">
        <v>806</v>
      </c>
      <c r="B45" s="329"/>
      <c r="C45" s="329"/>
      <c r="D45" s="329"/>
      <c r="E45" s="329"/>
      <c r="F45" s="329"/>
      <c r="G45" s="329"/>
      <c r="H45" s="329"/>
      <c r="I45" s="329"/>
      <c r="J45" s="329"/>
    </row>
    <row r="46" spans="1:10" ht="21">
      <c r="A46" s="329" t="s">
        <v>807</v>
      </c>
      <c r="B46" s="329"/>
      <c r="C46" s="329"/>
      <c r="D46" s="329"/>
      <c r="E46" s="329"/>
      <c r="F46" s="329"/>
      <c r="G46" s="329"/>
      <c r="H46" s="329"/>
      <c r="I46" s="329"/>
      <c r="J46" s="329"/>
    </row>
    <row r="47" spans="1:10" ht="21">
      <c r="A47" s="329" t="s">
        <v>808</v>
      </c>
      <c r="B47" s="329"/>
      <c r="C47" s="329"/>
      <c r="D47" s="329"/>
      <c r="E47" s="329"/>
      <c r="F47" s="329"/>
      <c r="G47" s="329"/>
      <c r="H47" s="329"/>
      <c r="I47" s="329"/>
      <c r="J47" s="329"/>
    </row>
    <row r="48" spans="1:10" ht="21">
      <c r="A48" s="329" t="s">
        <v>809</v>
      </c>
      <c r="B48" s="329"/>
      <c r="C48" s="329"/>
      <c r="D48" s="329"/>
      <c r="E48" s="329"/>
      <c r="F48" s="329"/>
      <c r="G48" s="329"/>
      <c r="H48" s="329"/>
      <c r="I48" s="329"/>
      <c r="J48" s="329"/>
    </row>
    <row r="49" spans="1:27" ht="21">
      <c r="A49" s="329" t="s">
        <v>810</v>
      </c>
      <c r="B49" s="329"/>
      <c r="C49" s="329"/>
      <c r="D49" s="329"/>
      <c r="E49" s="329"/>
      <c r="F49" s="329"/>
      <c r="G49" s="329"/>
      <c r="H49" s="329"/>
      <c r="I49" s="329"/>
      <c r="J49" s="329"/>
    </row>
    <row r="50" spans="1:27" ht="21">
      <c r="A50" s="329" t="s">
        <v>811</v>
      </c>
      <c r="B50" s="329"/>
      <c r="C50" s="329"/>
      <c r="D50" s="329"/>
      <c r="E50" s="329"/>
      <c r="F50" s="329"/>
      <c r="G50" s="329"/>
      <c r="H50" s="329"/>
      <c r="I50" s="329"/>
      <c r="J50" s="329"/>
    </row>
    <row r="51" spans="1:27" ht="21">
      <c r="A51" s="329" t="s">
        <v>812</v>
      </c>
      <c r="B51" s="329"/>
      <c r="C51" s="329"/>
      <c r="D51" s="329"/>
      <c r="E51" s="329"/>
      <c r="F51" s="329"/>
      <c r="G51" s="329"/>
      <c r="H51" s="329"/>
      <c r="I51" s="329"/>
      <c r="J51" s="329"/>
    </row>
    <row r="52" spans="1:27" ht="21">
      <c r="A52" s="329"/>
      <c r="B52" s="329"/>
      <c r="C52" s="329"/>
      <c r="D52" s="329"/>
      <c r="E52" s="329"/>
      <c r="F52" s="329"/>
      <c r="G52" s="329"/>
      <c r="H52" s="329"/>
      <c r="I52" s="329"/>
      <c r="J52" s="329"/>
    </row>
    <row r="56" spans="1:27" ht="46.2">
      <c r="A56" s="342"/>
      <c r="B56" s="342"/>
      <c r="C56" s="342"/>
      <c r="D56" s="342"/>
      <c r="E56" s="342"/>
      <c r="F56" s="342"/>
      <c r="G56" s="342"/>
      <c r="H56" s="342"/>
      <c r="I56" s="342"/>
      <c r="J56" s="342"/>
      <c r="K56" s="342"/>
    </row>
    <row r="57" spans="1:27" ht="46.2">
      <c r="A57" s="342"/>
      <c r="B57" s="342" t="s">
        <v>835</v>
      </c>
      <c r="C57" s="342"/>
      <c r="D57" s="342"/>
      <c r="E57" s="342"/>
      <c r="F57" s="342"/>
      <c r="G57" s="342"/>
      <c r="H57" s="342"/>
      <c r="I57" s="342"/>
      <c r="J57" s="342"/>
      <c r="K57" s="342"/>
    </row>
    <row r="58" spans="1:27" ht="46.2">
      <c r="A58" s="342"/>
      <c r="B58" s="342"/>
      <c r="C58" s="342"/>
      <c r="D58" s="342"/>
      <c r="E58" s="342"/>
      <c r="F58" s="342"/>
      <c r="G58" s="342"/>
      <c r="H58" s="342"/>
      <c r="I58" s="342"/>
      <c r="J58" s="342"/>
      <c r="K58" s="342"/>
    </row>
    <row r="59" spans="1:27" ht="46.2">
      <c r="A59" s="342"/>
      <c r="B59" s="342"/>
      <c r="C59" s="342"/>
      <c r="D59" s="342"/>
      <c r="E59" s="342"/>
      <c r="F59" s="342"/>
      <c r="G59" s="342"/>
      <c r="H59" s="342"/>
      <c r="I59" s="342"/>
      <c r="J59" s="342"/>
      <c r="K59" s="342"/>
    </row>
    <row r="62" spans="1:27" ht="25.8">
      <c r="A62" s="338"/>
      <c r="B62" s="338"/>
      <c r="C62" s="338" t="s">
        <v>836</v>
      </c>
      <c r="D62" s="338"/>
      <c r="E62" s="338"/>
      <c r="F62" s="338"/>
      <c r="G62" s="338"/>
      <c r="H62" s="338"/>
      <c r="I62" s="338"/>
      <c r="J62" s="338"/>
      <c r="Z62" s="334" t="s">
        <v>863</v>
      </c>
      <c r="AA62" s="335"/>
    </row>
    <row r="63" spans="1:27" ht="25.8">
      <c r="A63" s="338"/>
      <c r="B63" s="338"/>
      <c r="C63" s="338" t="s">
        <v>837</v>
      </c>
      <c r="D63" s="338"/>
      <c r="E63" s="338"/>
      <c r="F63" s="338"/>
      <c r="G63" s="338"/>
      <c r="H63" s="338"/>
      <c r="I63" s="338"/>
      <c r="J63" s="338"/>
      <c r="Y63" s="344"/>
      <c r="Z63" s="347"/>
      <c r="AA63" s="347"/>
    </row>
    <row r="64" spans="1:27" ht="25.8">
      <c r="A64" s="338"/>
      <c r="B64" s="338"/>
      <c r="C64" s="338" t="s">
        <v>838</v>
      </c>
      <c r="D64" s="338"/>
      <c r="E64" s="338"/>
      <c r="F64" s="338"/>
      <c r="G64" s="338"/>
      <c r="H64" s="338"/>
      <c r="I64" s="338"/>
      <c r="J64" s="338"/>
      <c r="Y64" s="344"/>
      <c r="Z64" s="348" t="s">
        <v>864</v>
      </c>
      <c r="AA64" s="348" t="s">
        <v>865</v>
      </c>
    </row>
    <row r="65" spans="1:27" ht="46.8">
      <c r="A65" s="338"/>
      <c r="B65" s="338"/>
      <c r="C65" s="338" t="s">
        <v>839</v>
      </c>
      <c r="D65" s="338"/>
      <c r="E65" s="338"/>
      <c r="F65" s="338"/>
      <c r="G65" s="338"/>
      <c r="H65" s="338"/>
      <c r="I65" s="338"/>
      <c r="J65" s="338"/>
      <c r="Y65" s="344"/>
      <c r="Z65" s="349" t="s">
        <v>866</v>
      </c>
      <c r="AA65" s="350" t="s">
        <v>867</v>
      </c>
    </row>
    <row r="66" spans="1:27" ht="31.2">
      <c r="A66" s="338"/>
      <c r="B66" s="338"/>
      <c r="C66" s="338" t="s">
        <v>837</v>
      </c>
      <c r="D66" s="338"/>
      <c r="E66" s="338"/>
      <c r="F66" s="338"/>
      <c r="G66" s="338"/>
      <c r="H66" s="338"/>
      <c r="I66" s="338"/>
      <c r="J66" s="338"/>
      <c r="Y66" s="344"/>
      <c r="Z66" s="349" t="s">
        <v>868</v>
      </c>
      <c r="AA66" s="350" t="s">
        <v>869</v>
      </c>
    </row>
    <row r="67" spans="1:27" ht="31.2">
      <c r="A67" s="338"/>
      <c r="B67" s="338"/>
      <c r="C67" s="338" t="s">
        <v>840</v>
      </c>
      <c r="D67" s="338"/>
      <c r="E67" s="338"/>
      <c r="F67" s="338"/>
      <c r="G67" s="338"/>
      <c r="H67" s="338"/>
      <c r="I67" s="338"/>
      <c r="J67" s="338"/>
      <c r="Y67" s="344"/>
      <c r="Z67" s="349" t="s">
        <v>870</v>
      </c>
      <c r="AA67" s="350" t="s">
        <v>871</v>
      </c>
    </row>
    <row r="68" spans="1:27" ht="31.2">
      <c r="A68" s="338"/>
      <c r="B68" s="338"/>
      <c r="C68" s="338" t="s">
        <v>841</v>
      </c>
      <c r="D68" s="338"/>
      <c r="E68" s="338"/>
      <c r="F68" s="338"/>
      <c r="G68" s="338"/>
      <c r="H68" s="338"/>
      <c r="I68" s="338"/>
      <c r="J68" s="338"/>
      <c r="Y68" s="344"/>
      <c r="Z68" s="349" t="s">
        <v>872</v>
      </c>
      <c r="AA68" s="350" t="s">
        <v>873</v>
      </c>
    </row>
    <row r="69" spans="1:27" ht="46.8">
      <c r="A69" s="338"/>
      <c r="B69" s="338"/>
      <c r="C69" s="338" t="s">
        <v>842</v>
      </c>
      <c r="D69" s="338"/>
      <c r="E69" s="338"/>
      <c r="F69" s="338"/>
      <c r="G69" s="338"/>
      <c r="H69" s="338"/>
      <c r="I69" s="338"/>
      <c r="J69" s="338"/>
      <c r="Y69" s="344"/>
      <c r="Z69" s="349" t="s">
        <v>874</v>
      </c>
      <c r="AA69" s="350" t="s">
        <v>875</v>
      </c>
    </row>
    <row r="70" spans="1:27" ht="31.2">
      <c r="A70" s="338"/>
      <c r="B70" s="338"/>
      <c r="C70" s="338" t="s">
        <v>843</v>
      </c>
      <c r="D70" s="338"/>
      <c r="E70" s="338"/>
      <c r="F70" s="338"/>
      <c r="G70" s="338"/>
      <c r="H70" s="338"/>
      <c r="I70" s="338"/>
      <c r="J70" s="338"/>
      <c r="Y70" s="344"/>
      <c r="Z70" s="349" t="s">
        <v>876</v>
      </c>
      <c r="AA70" s="350" t="s">
        <v>877</v>
      </c>
    </row>
    <row r="71" spans="1:27" ht="46.8">
      <c r="A71" s="338"/>
      <c r="B71" s="338"/>
      <c r="C71" s="338" t="s">
        <v>844</v>
      </c>
      <c r="D71" s="338"/>
      <c r="E71" s="338"/>
      <c r="F71" s="338"/>
      <c r="G71" s="338"/>
      <c r="H71" s="338"/>
      <c r="I71" s="338"/>
      <c r="J71" s="338"/>
      <c r="Y71" s="344"/>
      <c r="Z71" s="349" t="s">
        <v>878</v>
      </c>
      <c r="AA71" s="350" t="s">
        <v>879</v>
      </c>
    </row>
    <row r="72" spans="1:27" ht="31.2">
      <c r="A72" s="338"/>
      <c r="B72" s="338"/>
      <c r="C72" s="338" t="s">
        <v>845</v>
      </c>
      <c r="D72" s="338"/>
      <c r="E72" s="338"/>
      <c r="F72" s="338"/>
      <c r="G72" s="338"/>
      <c r="H72" s="338"/>
      <c r="I72" s="338"/>
      <c r="J72" s="338"/>
      <c r="Y72" s="344"/>
      <c r="Z72" s="349" t="s">
        <v>880</v>
      </c>
      <c r="AA72" s="350" t="s">
        <v>881</v>
      </c>
    </row>
    <row r="73" spans="1:27" ht="46.8">
      <c r="A73" s="338"/>
      <c r="B73" s="338"/>
      <c r="C73" s="338" t="s">
        <v>846</v>
      </c>
      <c r="D73" s="338"/>
      <c r="E73" s="338"/>
      <c r="F73" s="338"/>
      <c r="G73" s="338"/>
      <c r="H73" s="338"/>
      <c r="I73" s="338"/>
      <c r="J73" s="338"/>
      <c r="Y73" s="344"/>
      <c r="Z73" s="349" t="s">
        <v>882</v>
      </c>
      <c r="AA73" s="350" t="s">
        <v>883</v>
      </c>
    </row>
    <row r="74" spans="1:27" ht="31.2">
      <c r="A74" s="338"/>
      <c r="B74" s="338"/>
      <c r="C74" s="338" t="s">
        <v>847</v>
      </c>
      <c r="D74" s="338"/>
      <c r="E74" s="338"/>
      <c r="F74" s="338"/>
      <c r="G74" s="338"/>
      <c r="H74" s="338"/>
      <c r="I74" s="338"/>
      <c r="J74" s="338"/>
      <c r="Y74" s="344"/>
      <c r="Z74" s="349" t="s">
        <v>884</v>
      </c>
      <c r="AA74" s="350" t="s">
        <v>885</v>
      </c>
    </row>
    <row r="75" spans="1:27" ht="31.2">
      <c r="A75" s="338"/>
      <c r="B75" s="338"/>
      <c r="C75" s="338" t="s">
        <v>848</v>
      </c>
      <c r="D75" s="338"/>
      <c r="E75" s="338"/>
      <c r="F75" s="338"/>
      <c r="G75" s="338"/>
      <c r="H75" s="338"/>
      <c r="I75" s="338"/>
      <c r="J75" s="338"/>
      <c r="Y75" s="344"/>
      <c r="Z75" s="349" t="s">
        <v>886</v>
      </c>
      <c r="AA75" s="350" t="s">
        <v>887</v>
      </c>
    </row>
    <row r="76" spans="1:27" ht="25.8">
      <c r="A76" s="338"/>
      <c r="B76" s="338"/>
      <c r="C76" s="338" t="s">
        <v>849</v>
      </c>
      <c r="D76" s="338"/>
      <c r="E76" s="338"/>
      <c r="F76" s="338"/>
      <c r="G76" s="338"/>
      <c r="H76" s="338"/>
      <c r="I76" s="338"/>
      <c r="J76" s="338"/>
      <c r="Y76" s="344"/>
      <c r="Z76" s="347"/>
      <c r="AA76" s="347"/>
    </row>
    <row r="77" spans="1:27" ht="25.8">
      <c r="A77" s="338"/>
      <c r="B77" s="338"/>
      <c r="C77" s="338" t="s">
        <v>850</v>
      </c>
      <c r="D77" s="338"/>
      <c r="E77" s="338"/>
      <c r="F77" s="338"/>
      <c r="G77" s="338"/>
      <c r="H77" s="338"/>
      <c r="I77" s="338"/>
      <c r="J77" s="338"/>
    </row>
    <row r="78" spans="1:27" ht="25.8">
      <c r="A78" s="338"/>
      <c r="B78" s="338"/>
      <c r="C78" s="338" t="s">
        <v>851</v>
      </c>
      <c r="D78" s="338"/>
      <c r="E78" s="338"/>
      <c r="F78" s="338"/>
      <c r="G78" s="338"/>
      <c r="H78" s="338"/>
      <c r="I78" s="338"/>
      <c r="J78" s="338"/>
    </row>
    <row r="79" spans="1:27" ht="25.8">
      <c r="A79" s="338"/>
      <c r="B79" s="338"/>
      <c r="C79" s="338" t="s">
        <v>852</v>
      </c>
      <c r="D79" s="338"/>
      <c r="E79" s="338"/>
      <c r="F79" s="338"/>
      <c r="G79" s="338"/>
      <c r="H79" s="338"/>
      <c r="I79" s="338"/>
      <c r="J79" s="338"/>
    </row>
    <row r="80" spans="1:27" ht="25.8">
      <c r="A80" s="338"/>
      <c r="B80" s="338"/>
      <c r="C80" s="338" t="s">
        <v>853</v>
      </c>
      <c r="D80" s="338"/>
      <c r="E80" s="338"/>
      <c r="F80" s="338"/>
      <c r="G80" s="338"/>
      <c r="H80" s="338"/>
      <c r="I80" s="338"/>
      <c r="J80" s="338"/>
    </row>
    <row r="81" spans="1:10" ht="25.8">
      <c r="A81" s="338"/>
      <c r="B81" s="338"/>
      <c r="C81" s="338" t="s">
        <v>854</v>
      </c>
      <c r="D81" s="338"/>
      <c r="E81" s="338"/>
      <c r="F81" s="338"/>
      <c r="G81" s="338"/>
      <c r="H81" s="338"/>
      <c r="I81" s="338"/>
      <c r="J81" s="338"/>
    </row>
    <row r="82" spans="1:10" ht="25.8">
      <c r="A82" s="338"/>
      <c r="B82" s="338"/>
      <c r="C82" s="338" t="s">
        <v>855</v>
      </c>
      <c r="D82" s="338"/>
      <c r="E82" s="338"/>
      <c r="F82" s="338"/>
      <c r="G82" s="338"/>
      <c r="H82" s="338"/>
      <c r="I82" s="338"/>
      <c r="J82" s="338"/>
    </row>
    <row r="83" spans="1:10" ht="25.8">
      <c r="A83" s="338"/>
      <c r="B83" s="338"/>
      <c r="C83" s="338" t="s">
        <v>856</v>
      </c>
      <c r="D83" s="338"/>
      <c r="E83" s="338"/>
      <c r="F83" s="338"/>
      <c r="G83" s="338"/>
      <c r="H83" s="338"/>
      <c r="I83" s="338"/>
      <c r="J83" s="338"/>
    </row>
    <row r="84" spans="1:10" ht="25.8">
      <c r="A84" s="338"/>
      <c r="B84" s="338"/>
      <c r="C84" s="338" t="s">
        <v>853</v>
      </c>
      <c r="D84" s="338"/>
      <c r="E84" s="338"/>
      <c r="F84" s="338"/>
      <c r="G84" s="338"/>
      <c r="H84" s="338"/>
      <c r="I84" s="338"/>
      <c r="J84" s="338"/>
    </row>
    <row r="85" spans="1:10" ht="25.8">
      <c r="A85" s="338"/>
      <c r="B85" s="338"/>
      <c r="C85" s="338" t="s">
        <v>857</v>
      </c>
      <c r="D85" s="338"/>
      <c r="E85" s="338"/>
      <c r="F85" s="338"/>
      <c r="G85" s="338"/>
      <c r="H85" s="338"/>
      <c r="I85" s="338"/>
      <c r="J85" s="338"/>
    </row>
    <row r="86" spans="1:10" ht="25.8">
      <c r="A86" s="338"/>
      <c r="B86" s="338"/>
      <c r="C86" s="338" t="s">
        <v>858</v>
      </c>
      <c r="D86" s="338"/>
      <c r="E86" s="338"/>
      <c r="F86" s="338"/>
      <c r="G86" s="338"/>
      <c r="H86" s="338"/>
      <c r="I86" s="338"/>
      <c r="J86" s="338"/>
    </row>
    <row r="87" spans="1:10" ht="25.8">
      <c r="A87" s="338"/>
      <c r="B87" s="338"/>
      <c r="C87" s="338" t="s">
        <v>859</v>
      </c>
      <c r="D87" s="338"/>
      <c r="E87" s="338"/>
      <c r="F87" s="338"/>
      <c r="G87" s="338"/>
      <c r="H87" s="338"/>
      <c r="I87" s="338"/>
      <c r="J87" s="338"/>
    </row>
    <row r="88" spans="1:10" ht="25.8">
      <c r="A88" s="338"/>
      <c r="B88" s="338"/>
      <c r="C88" s="338" t="s">
        <v>860</v>
      </c>
      <c r="D88" s="338"/>
      <c r="E88" s="338"/>
      <c r="F88" s="338"/>
      <c r="G88" s="338"/>
      <c r="H88" s="338"/>
      <c r="I88" s="338"/>
      <c r="J88" s="338"/>
    </row>
    <row r="89" spans="1:10" ht="25.8">
      <c r="A89" s="338"/>
      <c r="B89" s="338"/>
      <c r="C89" s="338" t="s">
        <v>861</v>
      </c>
      <c r="D89" s="338"/>
      <c r="E89" s="338"/>
      <c r="F89" s="338"/>
      <c r="G89" s="338"/>
      <c r="H89" s="338"/>
      <c r="I89" s="338"/>
      <c r="J89" s="338"/>
    </row>
    <row r="90" spans="1:10" ht="25.8">
      <c r="A90" s="338"/>
      <c r="B90" s="338"/>
      <c r="C90" s="338" t="s">
        <v>862</v>
      </c>
      <c r="D90" s="338"/>
      <c r="E90" s="338"/>
      <c r="F90" s="338"/>
      <c r="G90" s="338"/>
      <c r="H90" s="338"/>
      <c r="I90" s="338"/>
      <c r="J90" s="338"/>
    </row>
    <row r="91" spans="1:10" ht="25.8">
      <c r="A91" s="338"/>
      <c r="B91" s="338"/>
      <c r="C91" s="338"/>
      <c r="D91" s="338"/>
      <c r="E91" s="338"/>
      <c r="F91" s="338"/>
      <c r="G91" s="338"/>
      <c r="H91" s="338"/>
      <c r="I91" s="338"/>
      <c r="J91" s="338"/>
    </row>
    <row r="92" spans="1:10" ht="25.8">
      <c r="A92" s="338"/>
      <c r="B92" s="338"/>
      <c r="C92" s="338"/>
      <c r="D92" s="338"/>
      <c r="E92" s="338"/>
      <c r="F92" s="338"/>
      <c r="G92" s="338"/>
      <c r="H92" s="338"/>
      <c r="I92" s="338"/>
      <c r="J92" s="338"/>
    </row>
    <row r="93" spans="1:10" ht="25.8">
      <c r="A93" s="338"/>
      <c r="B93" s="338"/>
      <c r="C93" s="338"/>
      <c r="D93" s="338"/>
      <c r="E93" s="338"/>
      <c r="F93" s="338"/>
      <c r="G93" s="338"/>
      <c r="H93" s="338"/>
      <c r="I93" s="338"/>
      <c r="J93" s="338"/>
    </row>
    <row r="94" spans="1:10" ht="25.8">
      <c r="A94" s="338"/>
      <c r="B94" s="338"/>
      <c r="C94" s="338"/>
      <c r="D94" s="338"/>
      <c r="E94" s="338"/>
      <c r="F94" s="338"/>
      <c r="G94" s="338"/>
      <c r="H94" s="338"/>
      <c r="I94" s="338"/>
      <c r="J94" s="338"/>
    </row>
    <row r="95" spans="1:10" ht="25.8">
      <c r="A95" s="338"/>
      <c r="B95" s="338"/>
      <c r="C95" s="338"/>
      <c r="D95" s="338"/>
      <c r="E95" s="338"/>
      <c r="F95" s="338"/>
      <c r="G95" s="338"/>
      <c r="H95" s="338"/>
      <c r="I95" s="338"/>
      <c r="J95" s="338"/>
    </row>
    <row r="96" spans="1:10" ht="25.8">
      <c r="A96" s="338"/>
      <c r="B96" s="338"/>
      <c r="C96" s="338"/>
      <c r="D96" s="338"/>
      <c r="E96" s="338"/>
      <c r="F96" s="338"/>
      <c r="G96" s="338"/>
      <c r="H96" s="338"/>
      <c r="I96" s="338"/>
      <c r="J96" s="338"/>
    </row>
    <row r="97" spans="1:10" ht="25.8">
      <c r="A97" s="338"/>
      <c r="B97" s="338"/>
      <c r="C97" s="338"/>
      <c r="D97" s="338"/>
      <c r="E97" s="338"/>
      <c r="F97" s="338"/>
      <c r="G97" s="338"/>
      <c r="H97" s="338"/>
      <c r="I97" s="338"/>
      <c r="J97" s="338"/>
    </row>
    <row r="98" spans="1:10" ht="25.8">
      <c r="A98" s="338"/>
      <c r="B98" s="338"/>
      <c r="C98" s="338"/>
      <c r="D98" s="338"/>
      <c r="E98" s="338"/>
      <c r="F98" s="338"/>
      <c r="G98" s="338"/>
      <c r="H98" s="338"/>
      <c r="I98" s="338"/>
      <c r="J98" s="33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E6FDE-9518-45B1-B7A1-8C4AFD036989}">
  <sheetPr>
    <tabColor rgb="FF00B050"/>
  </sheetPr>
  <dimension ref="A2:E38"/>
  <sheetViews>
    <sheetView showGridLines="0" tabSelected="1" topLeftCell="A25" workbookViewId="0">
      <selection activeCell="J32" sqref="J32"/>
    </sheetView>
  </sheetViews>
  <sheetFormatPr defaultRowHeight="15.6"/>
  <cols>
    <col min="1" max="1" width="8.88671875" style="148"/>
    <col min="2" max="2" width="39.109375" style="148" bestFit="1" customWidth="1"/>
    <col min="3" max="3" width="15.21875" style="148" bestFit="1" customWidth="1"/>
    <col min="4" max="4" width="17.88671875" style="148" bestFit="1" customWidth="1"/>
    <col min="5" max="5" width="16.77734375" style="148" bestFit="1" customWidth="1"/>
    <col min="6" max="16384" width="8.88671875" style="148"/>
  </cols>
  <sheetData>
    <row r="2" spans="1:5" ht="34.799999999999997" customHeight="1">
      <c r="B2" s="328" t="s">
        <v>269</v>
      </c>
      <c r="C2" s="328"/>
      <c r="D2" s="328"/>
      <c r="E2" s="328"/>
    </row>
    <row r="3" spans="1:5" ht="34.799999999999997" customHeight="1">
      <c r="B3" s="151" t="s">
        <v>268</v>
      </c>
      <c r="C3" s="151" t="s">
        <v>364</v>
      </c>
      <c r="D3" s="151" t="s">
        <v>365</v>
      </c>
      <c r="E3" s="151" t="s">
        <v>366</v>
      </c>
    </row>
    <row r="4" spans="1:5" ht="34.799999999999997" customHeight="1">
      <c r="B4" s="149" t="s">
        <v>632</v>
      </c>
      <c r="C4" s="152"/>
      <c r="D4" s="152"/>
      <c r="E4" s="150">
        <v>360</v>
      </c>
    </row>
    <row r="8" spans="1:5">
      <c r="A8" s="332" t="s">
        <v>814</v>
      </c>
      <c r="B8" s="332" t="s">
        <v>892</v>
      </c>
      <c r="C8" s="332" t="s">
        <v>893</v>
      </c>
      <c r="D8" s="332" t="s">
        <v>894</v>
      </c>
      <c r="E8" s="346" t="s">
        <v>888</v>
      </c>
    </row>
    <row r="9" spans="1:5">
      <c r="A9" s="333">
        <v>1</v>
      </c>
      <c r="B9" s="333" t="s">
        <v>895</v>
      </c>
      <c r="C9" s="333" t="s">
        <v>896</v>
      </c>
      <c r="D9" s="333" t="s">
        <v>897</v>
      </c>
      <c r="E9" s="345" t="s">
        <v>889</v>
      </c>
    </row>
    <row r="10" spans="1:5">
      <c r="A10" s="333">
        <v>2</v>
      </c>
      <c r="B10" s="333" t="s">
        <v>898</v>
      </c>
      <c r="C10" s="333" t="s">
        <v>896</v>
      </c>
      <c r="D10" s="333" t="s">
        <v>897</v>
      </c>
      <c r="E10" s="345" t="s">
        <v>889</v>
      </c>
    </row>
    <row r="11" spans="1:5">
      <c r="A11" s="333">
        <v>3</v>
      </c>
      <c r="B11" s="333" t="s">
        <v>899</v>
      </c>
      <c r="C11" s="333" t="s">
        <v>900</v>
      </c>
      <c r="D11" s="333" t="s">
        <v>901</v>
      </c>
      <c r="E11" s="345" t="s">
        <v>902</v>
      </c>
    </row>
    <row r="12" spans="1:5">
      <c r="A12" s="333">
        <v>4</v>
      </c>
      <c r="B12" s="333" t="s">
        <v>903</v>
      </c>
      <c r="C12" s="333" t="s">
        <v>897</v>
      </c>
      <c r="D12" s="333" t="s">
        <v>901</v>
      </c>
      <c r="E12" s="345" t="s">
        <v>904</v>
      </c>
    </row>
    <row r="13" spans="1:5">
      <c r="A13" s="333">
        <v>5</v>
      </c>
      <c r="B13" s="333" t="s">
        <v>905</v>
      </c>
      <c r="C13" s="333" t="s">
        <v>906</v>
      </c>
      <c r="D13" s="333" t="s">
        <v>907</v>
      </c>
      <c r="E13" s="345" t="s">
        <v>908</v>
      </c>
    </row>
    <row r="14" spans="1:5">
      <c r="A14" s="333">
        <v>6</v>
      </c>
      <c r="B14" s="333" t="s">
        <v>909</v>
      </c>
      <c r="C14" s="333" t="s">
        <v>901</v>
      </c>
      <c r="D14" s="333" t="s">
        <v>910</v>
      </c>
      <c r="E14" s="345" t="s">
        <v>911</v>
      </c>
    </row>
    <row r="15" spans="1:5">
      <c r="A15" s="333">
        <v>7</v>
      </c>
      <c r="B15" s="333" t="s">
        <v>912</v>
      </c>
      <c r="C15" s="333" t="s">
        <v>907</v>
      </c>
      <c r="D15" s="333" t="s">
        <v>913</v>
      </c>
      <c r="E15" s="345" t="s">
        <v>914</v>
      </c>
    </row>
    <row r="16" spans="1:5">
      <c r="A16" s="333">
        <v>8</v>
      </c>
      <c r="B16" s="333" t="s">
        <v>915</v>
      </c>
      <c r="C16" s="333" t="s">
        <v>916</v>
      </c>
      <c r="D16" s="333" t="s">
        <v>917</v>
      </c>
      <c r="E16" s="345" t="s">
        <v>918</v>
      </c>
    </row>
    <row r="17" spans="1:5">
      <c r="A17" s="333">
        <v>9</v>
      </c>
      <c r="B17" s="333" t="s">
        <v>919</v>
      </c>
      <c r="C17" s="333" t="s">
        <v>910</v>
      </c>
      <c r="D17" s="333" t="s">
        <v>920</v>
      </c>
      <c r="E17" s="345" t="s">
        <v>911</v>
      </c>
    </row>
    <row r="18" spans="1:5">
      <c r="A18" s="333">
        <v>10</v>
      </c>
      <c r="B18" s="333" t="s">
        <v>921</v>
      </c>
      <c r="C18" s="333" t="s">
        <v>913</v>
      </c>
      <c r="D18" s="333" t="s">
        <v>922</v>
      </c>
      <c r="E18" s="345" t="s">
        <v>923</v>
      </c>
    </row>
    <row r="19" spans="1:5">
      <c r="A19" s="333">
        <v>11</v>
      </c>
      <c r="B19" s="333" t="s">
        <v>924</v>
      </c>
      <c r="C19" s="333" t="s">
        <v>925</v>
      </c>
      <c r="D19" s="333" t="s">
        <v>926</v>
      </c>
      <c r="E19" s="345" t="s">
        <v>908</v>
      </c>
    </row>
    <row r="20" spans="1:5">
      <c r="A20" s="333">
        <v>12</v>
      </c>
      <c r="B20" s="333" t="s">
        <v>927</v>
      </c>
      <c r="C20" s="333" t="s">
        <v>913</v>
      </c>
      <c r="D20" s="333" t="s">
        <v>928</v>
      </c>
      <c r="E20" s="345" t="s">
        <v>902</v>
      </c>
    </row>
    <row r="21" spans="1:5">
      <c r="A21" s="333">
        <v>13</v>
      </c>
      <c r="B21" s="333" t="s">
        <v>929</v>
      </c>
      <c r="C21" s="333" t="s">
        <v>925</v>
      </c>
      <c r="D21" s="333" t="s">
        <v>930</v>
      </c>
      <c r="E21" s="345" t="s">
        <v>923</v>
      </c>
    </row>
    <row r="22" spans="1:5">
      <c r="A22" s="333">
        <v>14</v>
      </c>
      <c r="B22" s="333" t="s">
        <v>931</v>
      </c>
      <c r="C22" s="333" t="s">
        <v>926</v>
      </c>
      <c r="D22" s="333" t="s">
        <v>932</v>
      </c>
      <c r="E22" s="345" t="s">
        <v>911</v>
      </c>
    </row>
    <row r="23" spans="1:5">
      <c r="A23" s="333">
        <v>15</v>
      </c>
      <c r="B23" s="333" t="s">
        <v>933</v>
      </c>
      <c r="C23" s="333" t="s">
        <v>934</v>
      </c>
      <c r="D23" s="333" t="s">
        <v>935</v>
      </c>
      <c r="E23" s="345" t="s">
        <v>923</v>
      </c>
    </row>
    <row r="24" spans="1:5">
      <c r="A24" s="333">
        <v>16</v>
      </c>
      <c r="B24" s="333" t="s">
        <v>936</v>
      </c>
      <c r="C24" s="333" t="s">
        <v>937</v>
      </c>
      <c r="D24" s="333" t="s">
        <v>938</v>
      </c>
      <c r="E24" s="345" t="s">
        <v>911</v>
      </c>
    </row>
    <row r="25" spans="1:5">
      <c r="A25" s="333">
        <v>17</v>
      </c>
      <c r="B25" s="333" t="s">
        <v>939</v>
      </c>
      <c r="C25" s="333" t="s">
        <v>934</v>
      </c>
      <c r="D25" s="333" t="s">
        <v>940</v>
      </c>
      <c r="E25" s="345" t="s">
        <v>941</v>
      </c>
    </row>
    <row r="26" spans="1:5">
      <c r="A26" s="333">
        <v>18</v>
      </c>
      <c r="B26" s="333" t="s">
        <v>942</v>
      </c>
      <c r="C26" s="333" t="s">
        <v>935</v>
      </c>
      <c r="D26" s="333" t="s">
        <v>943</v>
      </c>
      <c r="E26" s="345" t="s">
        <v>944</v>
      </c>
    </row>
    <row r="27" spans="1:5">
      <c r="A27" s="333">
        <v>19</v>
      </c>
      <c r="B27" s="333" t="s">
        <v>945</v>
      </c>
      <c r="C27" s="333" t="s">
        <v>946</v>
      </c>
      <c r="D27" s="333" t="s">
        <v>947</v>
      </c>
      <c r="E27" s="345" t="s">
        <v>904</v>
      </c>
    </row>
    <row r="28" spans="1:5">
      <c r="A28" s="333">
        <v>20</v>
      </c>
      <c r="B28" s="333" t="s">
        <v>948</v>
      </c>
      <c r="C28" s="333" t="s">
        <v>949</v>
      </c>
      <c r="D28" s="333" t="s">
        <v>950</v>
      </c>
      <c r="E28" s="345" t="s">
        <v>904</v>
      </c>
    </row>
    <row r="29" spans="1:5">
      <c r="A29" s="333">
        <v>21</v>
      </c>
      <c r="B29" s="333" t="s">
        <v>951</v>
      </c>
      <c r="C29" s="333" t="s">
        <v>952</v>
      </c>
      <c r="D29" s="333" t="s">
        <v>953</v>
      </c>
      <c r="E29" s="345" t="s">
        <v>914</v>
      </c>
    </row>
    <row r="30" spans="1:5">
      <c r="A30" s="333">
        <v>22</v>
      </c>
      <c r="B30" s="333" t="s">
        <v>954</v>
      </c>
      <c r="C30" s="333" t="s">
        <v>947</v>
      </c>
      <c r="D30" s="333" t="s">
        <v>955</v>
      </c>
      <c r="E30" s="345" t="s">
        <v>923</v>
      </c>
    </row>
    <row r="31" spans="1:5">
      <c r="A31" s="333">
        <v>23</v>
      </c>
      <c r="B31" s="333" t="s">
        <v>956</v>
      </c>
      <c r="C31" s="333" t="s">
        <v>957</v>
      </c>
      <c r="D31" s="333" t="s">
        <v>958</v>
      </c>
      <c r="E31" s="345" t="s">
        <v>959</v>
      </c>
    </row>
    <row r="32" spans="1:5">
      <c r="A32" s="333">
        <v>24</v>
      </c>
      <c r="B32" s="333" t="s">
        <v>960</v>
      </c>
      <c r="C32" s="333" t="s">
        <v>955</v>
      </c>
      <c r="D32" s="333" t="s">
        <v>961</v>
      </c>
      <c r="E32" s="345" t="s">
        <v>908</v>
      </c>
    </row>
    <row r="33" spans="1:5">
      <c r="A33" s="333">
        <v>25</v>
      </c>
      <c r="B33" s="333" t="s">
        <v>962</v>
      </c>
      <c r="C33" s="333" t="s">
        <v>958</v>
      </c>
      <c r="D33" s="333" t="s">
        <v>963</v>
      </c>
      <c r="E33" s="345" t="s">
        <v>908</v>
      </c>
    </row>
    <row r="34" spans="1:5">
      <c r="A34" s="333">
        <v>26</v>
      </c>
      <c r="B34" s="333" t="s">
        <v>964</v>
      </c>
      <c r="C34" s="333" t="s">
        <v>961</v>
      </c>
      <c r="D34" s="333" t="s">
        <v>965</v>
      </c>
      <c r="E34" s="345" t="s">
        <v>914</v>
      </c>
    </row>
    <row r="35" spans="1:5">
      <c r="A35" s="333">
        <v>27</v>
      </c>
      <c r="B35" s="333" t="s">
        <v>966</v>
      </c>
      <c r="C35" s="333" t="s">
        <v>958</v>
      </c>
      <c r="D35" s="333" t="s">
        <v>967</v>
      </c>
      <c r="E35" s="345" t="s">
        <v>902</v>
      </c>
    </row>
    <row r="36" spans="1:5">
      <c r="A36" s="333">
        <v>28</v>
      </c>
      <c r="B36" s="333" t="s">
        <v>968</v>
      </c>
      <c r="C36" s="333" t="s">
        <v>965</v>
      </c>
      <c r="D36" s="333" t="s">
        <v>967</v>
      </c>
      <c r="E36" s="345" t="s">
        <v>969</v>
      </c>
    </row>
    <row r="38" spans="1:5">
      <c r="B38" s="343" t="s">
        <v>891</v>
      </c>
      <c r="C38" s="343" t="s">
        <v>890</v>
      </c>
    </row>
  </sheetData>
  <mergeCells count="1">
    <mergeCell ref="B2:E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468328-496F-4C9A-9EEE-519F2DF94E1D}">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0 - Summary</vt:lpstr>
      <vt:lpstr>1 - Direct_DK_BoQ</vt:lpstr>
      <vt:lpstr>Offer_Auto</vt:lpstr>
      <vt:lpstr>2 - Direct_MH_BoQ</vt:lpstr>
      <vt:lpstr>3 - Indirect</vt:lpstr>
      <vt:lpstr>4 - Overhead</vt:lpstr>
      <vt:lpstr>Scope_Matrix</vt:lpstr>
      <vt:lpstr>Org_chart</vt:lpstr>
      <vt:lpstr>Planning</vt:lpstr>
      <vt:lpstr>'0 - Summary'!Print_Area</vt:lpstr>
      <vt:lpstr>'1 - Direct_DK_BoQ'!Print_Area</vt:lpstr>
      <vt:lpstr>'2 - Direct_MH_BoQ'!Print_Area</vt:lpstr>
      <vt:lpstr>'3 - Indirect'!Print_Area</vt:lpstr>
      <vt:lpstr>'4 - Overhead'!Print_Area</vt:lpstr>
      <vt:lpstr>Offer_Auto!Print_Area</vt:lpstr>
      <vt:lpstr>'3 - Indirect'!Print_Titles</vt:lpstr>
      <vt:lpstr>'4 - Overhead'!Print_Titles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dc:creator>
  <cp:lastModifiedBy>HP</cp:lastModifiedBy>
  <cp:lastPrinted>2026-07-22T08:20:45Z</cp:lastPrinted>
  <dcterms:created xsi:type="dcterms:W3CDTF">2010-08-15T10:45:48Z</dcterms:created>
  <dcterms:modified xsi:type="dcterms:W3CDTF">2026-10-07T07:10:48Z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{3D468328-496F-4C9A-9EEE-519F2DF94E1D}</vt:lpwstr>
  </property>
</Properties>
</file>